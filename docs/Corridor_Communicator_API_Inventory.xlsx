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Data Pulled + How Used" sheetId="2" state="visible" r:id="rId2"/>
    <sheet xmlns:r="http://schemas.openxmlformats.org/officeDocument/2006/relationships" name="Internal REST API" sheetId="3" state="visible" r:id="rId3"/>
    <sheet xmlns:r="http://schemas.openxmlformats.org/officeDocument/2006/relationships" name="State Feed Registry" sheetId="4" state="visible" r:id="rId4"/>
    <sheet xmlns:r="http://schemas.openxmlformats.org/officeDocument/2006/relationships" name="State Coverage Matrix" sheetId="5" state="visible" r:id="rId5"/>
    <sheet xmlns:r="http://schemas.openxmlformats.org/officeDocument/2006/relationships" name="External APIs Consumed" sheetId="6" state="visible" r:id="rId6"/>
    <sheet xmlns:r="http://schemas.openxmlformats.org/officeDocument/2006/relationships" name="Published Feeds" sheetId="7" state="visible" r:id="rId7"/>
    <sheet xmlns:r="http://schemas.openxmlformats.org/officeDocument/2006/relationships" name="Camera Sources" sheetId="8" state="visible" r:id="rId8"/>
    <sheet xmlns:r="http://schemas.openxmlformats.org/officeDocument/2006/relationships" name="DMS + Device Sources" sheetId="9" state="visible" r:id="rId9"/>
    <sheet xmlns:r="http://schemas.openxmlformats.org/officeDocument/2006/relationships" name="Validation Logic" sheetId="10" state="visible" r:id="rId10"/>
  </sheets>
  <definedNames>
    <definedName name="_xlnm._FilterDatabase" localSheetId="1" hidden="1">'Data Pulled + How Used'!$A$1:$I$37</definedName>
    <definedName name="_xlnm._FilterDatabase" localSheetId="2" hidden="1">'Internal REST API'!$A$1:$I$512</definedName>
    <definedName name="_xlnm._FilterDatabase" localSheetId="3" hidden="1">'State Feed Registry'!$A$1:$H$38</definedName>
    <definedName name="_xlnm._FilterDatabase" localSheetId="4" hidden="1">'State Coverage Matrix'!$A$1:$K$52</definedName>
    <definedName name="_xlnm._FilterDatabase" localSheetId="5" hidden="1">'External APIs Consumed'!$A$1:$G$46</definedName>
    <definedName name="_xlnm._FilterDatabase" localSheetId="6" hidden="1">'Published Feeds'!$A$1:$F$9</definedName>
    <definedName name="_xlnm._FilterDatabase" localSheetId="7" hidden="1">'Camera Sources'!$A$1:$H$17</definedName>
    <definedName name="_xlnm._FilterDatabase" localSheetId="8" hidden="1">'DMS + Device Sources'!$A$1:$K$21</definedName>
    <definedName name="_xlnm._FilterDatabase" localSheetId="9" hidden="1">'Validation Logic'!$A$1:$G$55</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b val="1"/>
      <color rgb="00FFFFFF"/>
      <sz val="11"/>
    </font>
    <font>
      <b val="1"/>
      <color rgb="001E6B3A"/>
    </font>
    <font>
      <name val="Menlo"/>
      <sz val="10"/>
    </font>
    <font>
      <b val="1"/>
      <color rgb="001F4E9C"/>
    </font>
    <font>
      <b val="1"/>
      <color rgb="009C1F1F"/>
    </font>
    <font>
      <b val="1"/>
      <color rgb="008A5A00"/>
    </font>
    <font>
      <b val="1"/>
      <color rgb="001F3864"/>
      <sz val="14"/>
    </font>
    <font>
      <b val="1"/>
      <color rgb="001F3864"/>
      <sz val="12"/>
    </font>
    <font>
      <b val="1"/>
    </font>
    <font>
      <b val="1"/>
      <color rgb="005B6B8C"/>
    </font>
    <font>
      <b val="1"/>
      <color rgb="008A3A00"/>
    </font>
    <font>
      <b val="1"/>
      <color rgb="006B1F8C"/>
    </font>
    <font>
      <b val="1"/>
      <color rgb="000F6B78"/>
    </font>
    <font/>
  </fonts>
  <fills count="7">
    <fill>
      <patternFill/>
    </fill>
    <fill>
      <patternFill patternType="gray125"/>
    </fill>
    <fill>
      <patternFill patternType="solid">
        <fgColor rgb="001F3864"/>
      </patternFill>
    </fill>
    <fill>
      <patternFill patternType="solid">
        <fgColor rgb="00F2F5FA"/>
      </patternFill>
    </fill>
    <fill>
      <patternFill patternType="solid">
        <fgColor rgb="00FDECEA"/>
      </patternFill>
    </fill>
    <fill>
      <patternFill patternType="solid">
        <fgColor rgb="00FFF6E5"/>
      </patternFill>
    </fill>
    <fill>
      <patternFill patternType="solid">
        <fgColor rgb="00E8F4E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37">
    <xf numFmtId="0" fontId="0"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 fillId="2" borderId="0" applyAlignment="1" pivotButton="0" quotePrefix="0" xfId="0">
      <alignment vertical="center" wrapText="1"/>
    </xf>
    <xf numFmtId="0" fontId="0" fillId="3" borderId="1" applyAlignment="1" pivotButton="0" quotePrefix="0" xfId="0">
      <alignment vertical="top" wrapText="1"/>
    </xf>
    <xf numFmtId="0" fontId="2" fillId="3" borderId="1" applyAlignment="1" pivotButton="0" quotePrefix="0" xfId="0">
      <alignment vertical="top" wrapText="1"/>
    </xf>
    <xf numFmtId="0" fontId="3" fillId="3" borderId="1" applyAlignment="1" pivotButton="0" quotePrefix="0" xfId="0">
      <alignment vertical="top" wrapText="1"/>
    </xf>
    <xf numFmtId="0" fontId="0" fillId="0" borderId="1" applyAlignment="1" pivotButton="0" quotePrefix="0" xfId="0">
      <alignment vertical="top" wrapText="1"/>
    </xf>
    <xf numFmtId="0" fontId="4" fillId="0" borderId="1" applyAlignment="1" pivotButton="0" quotePrefix="0" xfId="0">
      <alignment vertical="top" wrapText="1"/>
    </xf>
    <xf numFmtId="0" fontId="3" fillId="0" borderId="1" applyAlignment="1" pivotButton="0" quotePrefix="0" xfId="0">
      <alignment vertical="top" wrapText="1"/>
    </xf>
    <xf numFmtId="0" fontId="4" fillId="3" borderId="1" applyAlignment="1" pivotButton="0" quotePrefix="0" xfId="0">
      <alignment vertical="top" wrapText="1"/>
    </xf>
    <xf numFmtId="0" fontId="2" fillId="0" borderId="1" applyAlignment="1" pivotButton="0" quotePrefix="0" xfId="0">
      <alignment vertical="top" wrapText="1"/>
    </xf>
    <xf numFmtId="0" fontId="5" fillId="3" borderId="1" applyAlignment="1" pivotButton="0" quotePrefix="0" xfId="0">
      <alignment vertical="top" wrapText="1"/>
    </xf>
    <xf numFmtId="0" fontId="6" fillId="0" borderId="1" applyAlignment="1" pivotButton="0" quotePrefix="0" xfId="0">
      <alignment vertical="top" wrapText="1"/>
    </xf>
    <xf numFmtId="0" fontId="5" fillId="0" borderId="1" applyAlignment="1" pivotButton="0" quotePrefix="0" xfId="0">
      <alignment vertical="top" wrapText="1"/>
    </xf>
    <xf numFmtId="0" fontId="6" fillId="3" borderId="1" applyAlignment="1" pivotButton="0" quotePrefix="0" xfId="0">
      <alignment vertical="top" wrapText="1"/>
    </xf>
    <xf numFmtId="0" fontId="9" fillId="0" borderId="1" applyAlignment="1" pivotButton="0" quotePrefix="0" xfId="0">
      <alignment vertical="top" wrapText="1"/>
    </xf>
    <xf numFmtId="0" fontId="9" fillId="3" borderId="1" applyAlignment="1" pivotButton="0" quotePrefix="0" xfId="0">
      <alignment vertical="top" wrapText="1"/>
    </xf>
    <xf numFmtId="0" fontId="10" fillId="3" borderId="1" applyAlignment="1" pivotButton="0" quotePrefix="0" xfId="0">
      <alignment vertical="top" wrapText="1"/>
    </xf>
    <xf numFmtId="0" fontId="10" fillId="0" borderId="1" applyAlignment="1" pivotButton="0" quotePrefix="0" xfId="0">
      <alignment vertical="top" wrapText="1"/>
    </xf>
    <xf numFmtId="0" fontId="11" fillId="3" borderId="1" applyAlignment="1" pivotButton="0" quotePrefix="0" xfId="0">
      <alignment vertical="top" wrapText="1"/>
    </xf>
    <xf numFmtId="0" fontId="11" fillId="0" borderId="1" applyAlignment="1" pivotButton="0" quotePrefix="0" xfId="0">
      <alignment vertical="top" wrapText="1"/>
    </xf>
    <xf numFmtId="0" fontId="12" fillId="3" borderId="1" applyAlignment="1" pivotButton="0" quotePrefix="0" xfId="0">
      <alignment vertical="top" wrapText="1"/>
    </xf>
    <xf numFmtId="0" fontId="12" fillId="0" borderId="1" applyAlignment="1" pivotButton="0" quotePrefix="0" xfId="0">
      <alignment vertical="top" wrapText="1"/>
    </xf>
    <xf numFmtId="0" fontId="13" fillId="3" borderId="1" applyAlignment="1" pivotButton="0" quotePrefix="0" xfId="0">
      <alignment vertical="top" wrapText="1"/>
    </xf>
    <xf numFmtId="0" fontId="13" fillId="0" borderId="1" applyAlignment="1" pivotButton="0" quotePrefix="0" xfId="0">
      <alignment vertical="top" wrapText="1"/>
    </xf>
    <xf numFmtId="0" fontId="9" fillId="4" borderId="1" applyAlignment="1" pivotButton="0" quotePrefix="0" xfId="0">
      <alignment vertical="top" wrapText="1"/>
    </xf>
    <xf numFmtId="0" fontId="0" fillId="4" borderId="1" applyAlignment="1" pivotButton="0" quotePrefix="0" xfId="0">
      <alignment vertical="top" wrapText="1"/>
    </xf>
    <xf numFmtId="0" fontId="5" fillId="4" borderId="1" applyAlignment="1" pivotButton="0" quotePrefix="0" xfId="0">
      <alignment vertical="top" wrapText="1"/>
    </xf>
    <xf numFmtId="0" fontId="9" fillId="5" borderId="1" applyAlignment="1" pivotButton="0" quotePrefix="0" xfId="0">
      <alignment vertical="top" wrapText="1"/>
    </xf>
    <xf numFmtId="0" fontId="0" fillId="5" borderId="1" applyAlignment="1" pivotButton="0" quotePrefix="0" xfId="0">
      <alignment vertical="top" wrapText="1"/>
    </xf>
    <xf numFmtId="0" fontId="2" fillId="5" borderId="1" applyAlignment="1" pivotButton="0" quotePrefix="0" xfId="0">
      <alignment vertical="top" wrapText="1"/>
    </xf>
    <xf numFmtId="0" fontId="5" fillId="5" borderId="1" applyAlignment="1" pivotButton="0" quotePrefix="0" xfId="0">
      <alignment vertical="top" wrapText="1"/>
    </xf>
    <xf numFmtId="0" fontId="6" fillId="5" borderId="1" applyAlignment="1" pivotButton="0" quotePrefix="0" xfId="0">
      <alignment vertical="top" wrapText="1"/>
    </xf>
    <xf numFmtId="0" fontId="2" fillId="6" borderId="1" applyAlignment="1" pivotButton="0" quotePrefix="0" xfId="0">
      <alignment vertical="top" wrapText="1"/>
    </xf>
    <xf numFmtId="0" fontId="9"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39"/>
  <sheetViews>
    <sheetView workbookViewId="0">
      <selection activeCell="A1" sqref="A1"/>
    </sheetView>
  </sheetViews>
  <sheetFormatPr baseColWidth="8" defaultRowHeight="15"/>
  <cols>
    <col width="38" customWidth="1" min="1" max="1"/>
    <col width="12" customWidth="1" min="2" max="2"/>
    <col width="26" customWidth="1" min="3" max="3"/>
  </cols>
  <sheetData>
    <row r="1">
      <c r="A1" s="1" t="inlineStr">
        <is>
          <t>Corridor Communicator - API &amp; REST Service Inventory</t>
        </is>
      </c>
    </row>
    <row r="2">
      <c r="A2" t="inlineStr">
        <is>
          <t>Generated 2026-09-03. Endpoints from the working tree (backend_proxy_server.js, ml-integrations.js, services/). State feed registry read LIVE from production /api/states/list - the local states.db is stale and differs. Camera and device counts are live pulls from each upstream feed.</t>
        </is>
      </c>
    </row>
    <row r="3">
      <c r="A3" t="inlineStr">
        <is>
          <t>Regenerate endpoint list:  grep -nE "^\s*app\.(get|post|put|delete|patch)\(" backend_proxy_server.js</t>
        </is>
      </c>
    </row>
    <row r="5">
      <c r="A5" s="2" t="inlineStr">
        <is>
          <t>Totals</t>
        </is>
      </c>
    </row>
    <row r="6">
      <c r="A6" t="inlineStr">
        <is>
          <t>Internal REST endpoints</t>
        </is>
      </c>
      <c r="B6" s="3" t="n">
        <v>511</v>
      </c>
    </row>
    <row r="7">
      <c r="A7" t="inlineStr">
        <is>
          <t>Functional groups</t>
        </is>
      </c>
      <c r="B7" s="3" t="n">
        <v>92</v>
      </c>
    </row>
    <row r="8">
      <c r="A8" t="inlineStr">
        <is>
          <t>Registered feeds (production registry)</t>
        </is>
      </c>
      <c r="B8" s="3" t="n">
        <v>37</v>
      </c>
      <c r="C8">
        <f> 33 US states + DTCD, Quebec City, Austin TX, and a 2nd Iowa feed</f>
        <v/>
      </c>
    </row>
    <row r="9">
      <c r="A9" t="inlineStr">
        <is>
          <t>External APIs / upstream services</t>
        </is>
      </c>
      <c r="B9" s="3" t="n">
        <v>45</v>
      </c>
    </row>
    <row r="10">
      <c r="A10" t="inlineStr">
        <is>
          <t>Feeds the platform publishes</t>
        </is>
      </c>
      <c r="B10" s="3" t="n">
        <v>8</v>
      </c>
    </row>
    <row r="12">
      <c r="A12" s="2" t="inlineStr">
        <is>
          <t>Endpoints by HTTP method</t>
        </is>
      </c>
    </row>
    <row r="13">
      <c r="A13" t="inlineStr">
        <is>
          <t>GET</t>
        </is>
      </c>
      <c r="B13" t="n">
        <v>294</v>
      </c>
    </row>
    <row r="14">
      <c r="A14" t="inlineStr">
        <is>
          <t>POST</t>
        </is>
      </c>
      <c r="B14" t="n">
        <v>168</v>
      </c>
    </row>
    <row r="15">
      <c r="A15" t="inlineStr">
        <is>
          <t>DELETE</t>
        </is>
      </c>
      <c r="B15" t="n">
        <v>28</v>
      </c>
    </row>
    <row r="16">
      <c r="A16" t="inlineStr">
        <is>
          <t>PUT</t>
        </is>
      </c>
      <c r="B16" t="n">
        <v>20</v>
      </c>
    </row>
    <row r="17">
      <c r="A17" t="inlineStr">
        <is>
          <t>PATCH</t>
        </is>
      </c>
      <c r="B17" t="n">
        <v>1</v>
      </c>
    </row>
    <row r="19">
      <c r="A19" s="2" t="inlineStr">
        <is>
          <t>Endpoints by group</t>
        </is>
      </c>
    </row>
    <row r="20">
      <c r="A20" s="3" t="inlineStr">
        <is>
          <t>Group</t>
        </is>
      </c>
      <c r="B20" s="3" t="inlineStr">
        <is>
          <t>Count</t>
        </is>
      </c>
      <c r="C20" s="3" t="inlineStr">
        <is>
          <t>Category</t>
        </is>
      </c>
    </row>
    <row r="21">
      <c r="A21" t="inlineStr">
        <is>
          <t>ipaws</t>
        </is>
      </c>
      <c r="B21" t="n">
        <v>33</v>
      </c>
      <c r="C21" t="inlineStr">
        <is>
          <t>Emergency alerting</t>
        </is>
      </c>
    </row>
    <row r="22">
      <c r="A22" t="inlineStr">
        <is>
          <t>admin</t>
        </is>
      </c>
      <c r="B22" t="n">
        <v>32</v>
      </c>
      <c r="C22" t="inlineStr">
        <is>
          <t>Platform</t>
        </is>
      </c>
    </row>
    <row r="23">
      <c r="A23" t="inlineStr">
        <is>
          <t>parking</t>
        </is>
      </c>
      <c r="B23" t="n">
        <v>28</v>
      </c>
      <c r="C23" t="inlineStr">
        <is>
          <t>Truck parking</t>
        </is>
      </c>
    </row>
    <row r="24">
      <c r="A24" t="inlineStr">
        <is>
          <t>data-quality</t>
        </is>
      </c>
      <c r="B24" t="n">
        <v>23</v>
      </c>
      <c r="C24" t="inlineStr">
        <is>
          <t>Data quality</t>
        </is>
      </c>
    </row>
    <row r="25">
      <c r="A25" t="inlineStr">
        <is>
          <t>grants</t>
        </is>
      </c>
      <c r="B25" t="n">
        <v>23</v>
      </c>
      <c r="C25" t="inlineStr">
        <is>
          <t>Grants</t>
        </is>
      </c>
    </row>
    <row r="26">
      <c r="A26" t="inlineStr">
        <is>
          <t>its-equipment</t>
        </is>
      </c>
      <c r="B26" t="n">
        <v>18</v>
      </c>
      <c r="C26" t="inlineStr">
        <is>
          <t>ITS / infrastructure</t>
        </is>
      </c>
    </row>
    <row r="27">
      <c r="A27" t="inlineStr">
        <is>
          <t>calendar</t>
        </is>
      </c>
      <c r="B27" t="n">
        <v>16</v>
      </c>
      <c r="C27" t="inlineStr">
        <is>
          <t>Collaboration</t>
        </is>
      </c>
    </row>
    <row r="28">
      <c r="A28" t="inlineStr">
        <is>
          <t>chatgpt</t>
        </is>
      </c>
      <c r="B28" t="n">
        <v>14</v>
      </c>
      <c r="C28" t="inlineStr">
        <is>
          <t>Platform / AI</t>
        </is>
      </c>
    </row>
    <row r="29">
      <c r="A29" t="inlineStr">
        <is>
          <t>users</t>
        </is>
      </c>
      <c r="B29" t="n">
        <v>12</v>
      </c>
      <c r="C29" t="inlineStr">
        <is>
          <t>Platform</t>
        </is>
      </c>
    </row>
    <row r="30">
      <c r="A30" t="inlineStr">
        <is>
          <t>vendors</t>
        </is>
      </c>
      <c r="B30" t="n">
        <v>12</v>
      </c>
      <c r="C30" t="inlineStr">
        <is>
          <t>Truck parking / vendors</t>
        </is>
      </c>
    </row>
    <row r="31">
      <c r="A31" t="inlineStr">
        <is>
          <t>digital-infrastructure</t>
        </is>
      </c>
      <c r="B31" t="n">
        <v>12</v>
      </c>
      <c r="C31" t="inlineStr">
        <is>
          <t>ITS / infrastructure</t>
        </is>
      </c>
    </row>
    <row r="32">
      <c r="A32" t="inlineStr">
        <is>
          <t>dms</t>
        </is>
      </c>
      <c r="B32" t="n">
        <v>11</v>
      </c>
      <c r="C32" t="inlineStr">
        <is>
          <t>Corridor ops / devices</t>
        </is>
      </c>
    </row>
    <row r="33">
      <c r="A33" t="inlineStr">
        <is>
          <t>closures</t>
        </is>
      </c>
      <c r="B33" t="n">
        <v>10</v>
      </c>
      <c r="C33" t="inlineStr">
        <is>
          <t>Corridor ops</t>
        </is>
      </c>
    </row>
    <row r="34">
      <c r="A34" t="inlineStr">
        <is>
          <t>events</t>
        </is>
      </c>
      <c r="B34" t="n">
        <v>10</v>
      </c>
      <c r="C34" t="inlineStr">
        <is>
          <t>Core event data</t>
        </is>
      </c>
    </row>
    <row r="35">
      <c r="A35" t="inlineStr">
        <is>
          <t>ml</t>
        </is>
      </c>
      <c r="B35" t="n">
        <v>10</v>
      </c>
      <c r="C35" t="inlineStr">
        <is>
          <t>Platform / AI</t>
        </is>
      </c>
    </row>
    <row r="36">
      <c r="A36" t="inlineStr">
        <is>
          <t>states</t>
        </is>
      </c>
      <c r="B36" t="n">
        <v>9</v>
      </c>
      <c r="C36" t="inlineStr">
        <is>
          <t>Platform</t>
        </is>
      </c>
    </row>
    <row r="37">
      <c r="A37" t="inlineStr">
        <is>
          <t>diversion-routes</t>
        </is>
      </c>
      <c r="B37" t="n">
        <v>9</v>
      </c>
      <c r="C37" t="inlineStr">
        <is>
          <t>Corridor ops</t>
        </is>
      </c>
    </row>
    <row r="38">
      <c r="A38" t="inlineStr">
        <is>
          <t>cadd</t>
        </is>
      </c>
      <c r="B38" t="n">
        <v>9</v>
      </c>
      <c r="C38" t="inlineStr">
        <is>
          <t>ITS / infrastructure</t>
        </is>
      </c>
    </row>
    <row r="39">
      <c r="A39" t="inlineStr">
        <is>
          <t>reports</t>
        </is>
      </c>
      <c r="B39" t="n">
        <v>8</v>
      </c>
      <c r="C39" t="inlineStr">
        <is>
          <t>Data quality</t>
        </is>
      </c>
    </row>
    <row r="40">
      <c r="A40" t="inlineStr">
        <is>
          <t>cifs</t>
        </is>
      </c>
      <c r="B40" t="n">
        <v>8</v>
      </c>
      <c r="C40" t="inlineStr">
        <is>
          <t>Core event data</t>
        </is>
      </c>
    </row>
    <row r="41">
      <c r="A41" t="inlineStr">
        <is>
          <t>wzdx</t>
        </is>
      </c>
      <c r="B41" t="n">
        <v>8</v>
      </c>
      <c r="C41" t="inlineStr">
        <is>
          <t>Core event data</t>
        </is>
      </c>
    </row>
    <row r="42">
      <c r="A42" t="inlineStr">
        <is>
          <t>wz</t>
        </is>
      </c>
      <c r="B42" t="n">
        <v>6</v>
      </c>
      <c r="C42" t="inlineStr">
        <is>
          <t>Validation</t>
        </is>
      </c>
    </row>
    <row r="43">
      <c r="A43" t="inlineStr">
        <is>
          <t>asset-health</t>
        </is>
      </c>
      <c r="B43" t="n">
        <v>6</v>
      </c>
      <c r="C43" t="inlineStr">
        <is>
          <t>ITS / infrastructure</t>
        </is>
      </c>
    </row>
    <row r="44">
      <c r="A44" t="inlineStr">
        <is>
          <t>procurement</t>
        </is>
      </c>
      <c r="B44" t="n">
        <v>6</v>
      </c>
      <c r="C44" t="inlineStr">
        <is>
          <t>Procurement</t>
        </is>
      </c>
    </row>
    <row r="45">
      <c r="A45" t="inlineStr">
        <is>
          <t>aerial-overlays</t>
        </is>
      </c>
      <c r="B45" t="n">
        <v>6</v>
      </c>
      <c r="C45" t="inlineStr">
        <is>
          <t>ITS / infrastructure</t>
        </is>
      </c>
    </row>
    <row r="46">
      <c r="A46" t="inlineStr">
        <is>
          <t>wfs</t>
        </is>
      </c>
      <c r="B46" t="n">
        <v>6</v>
      </c>
      <c r="C46" t="inlineStr">
        <is>
          <t>ITS / infrastructure</t>
        </is>
      </c>
    </row>
    <row r="47">
      <c r="A47" t="inlineStr">
        <is>
          <t>community</t>
        </is>
      </c>
      <c r="B47" t="n">
        <v>6</v>
      </c>
      <c r="C47" t="inlineStr">
        <is>
          <t>Collaboration</t>
        </is>
      </c>
    </row>
    <row r="48">
      <c r="A48" t="inlineStr">
        <is>
          <t>crashes</t>
        </is>
      </c>
      <c r="B48" t="n">
        <v>5</v>
      </c>
      <c r="C48" t="inlineStr">
        <is>
          <t>Safety data</t>
        </is>
      </c>
    </row>
    <row r="49">
      <c r="A49" t="inlineStr">
        <is>
          <t>documentation</t>
        </is>
      </c>
      <c r="B49" t="n">
        <v>5</v>
      </c>
      <c r="C49" t="inlineStr">
        <is>
          <t>Platform</t>
        </is>
      </c>
    </row>
    <row r="50">
      <c r="A50" t="inlineStr">
        <is>
          <t>messages</t>
        </is>
      </c>
      <c r="B50" t="n">
        <v>5</v>
      </c>
      <c r="C50" t="inlineStr">
        <is>
          <t>Collaboration</t>
        </is>
      </c>
    </row>
    <row r="51">
      <c r="A51" t="inlineStr">
        <is>
          <t>cv</t>
        </is>
      </c>
      <c r="B51" t="n">
        <v>5</v>
      </c>
      <c r="C51" t="inlineStr">
        <is>
          <t>ITS / infrastructure</t>
        </is>
      </c>
    </row>
    <row r="52">
      <c r="A52" t="inlineStr">
        <is>
          <t>analytics</t>
        </is>
      </c>
      <c r="B52" t="n">
        <v>5</v>
      </c>
      <c r="C52" t="inlineStr">
        <is>
          <t>Analytics &amp; prediction</t>
        </is>
      </c>
    </row>
    <row r="53">
      <c r="A53" t="inlineStr">
        <is>
          <t>ttri</t>
        </is>
      </c>
      <c r="B53" t="n">
        <v>5</v>
      </c>
      <c r="C53" t="inlineStr">
        <is>
          <t>Corridor ops</t>
        </is>
      </c>
    </row>
    <row r="54">
      <c r="A54" t="inlineStr">
        <is>
          <t>population</t>
        </is>
      </c>
      <c r="B54" t="n">
        <v>5</v>
      </c>
      <c r="C54" t="inlineStr">
        <is>
          <t>Analytics &amp; prediction</t>
        </is>
      </c>
    </row>
    <row r="55">
      <c r="A55" t="inlineStr">
        <is>
          <t>plugins</t>
        </is>
      </c>
      <c r="B55" t="n">
        <v>5</v>
      </c>
      <c r="C55" t="inlineStr">
        <is>
          <t>Collaboration</t>
        </is>
      </c>
    </row>
    <row r="56">
      <c r="A56" t="inlineStr">
        <is>
          <t>projects</t>
        </is>
      </c>
      <c r="B56" t="n">
        <v>5</v>
      </c>
      <c r="C56" t="inlineStr">
        <is>
          <t>Projects</t>
        </is>
      </c>
    </row>
    <row r="57">
      <c r="A57" t="inlineStr">
        <is>
          <t>corridor</t>
        </is>
      </c>
      <c r="B57" t="n">
        <v>5</v>
      </c>
      <c r="C57" t="inlineStr">
        <is>
          <t>Corridor ops</t>
        </is>
      </c>
    </row>
    <row r="58">
      <c r="A58" t="inlineStr">
        <is>
          <t>equipment</t>
        </is>
      </c>
      <c r="B58" t="n">
        <v>5</v>
      </c>
      <c r="C58" t="inlineStr">
        <is>
          <t>ITS / infrastructure</t>
        </is>
      </c>
    </row>
    <row r="59">
      <c r="A59" t="inlineStr">
        <is>
          <t>tomtom</t>
        </is>
      </c>
      <c r="B59" t="n">
        <v>4</v>
      </c>
      <c r="C59" t="inlineStr">
        <is>
          <t>Validation</t>
        </is>
      </c>
    </row>
    <row r="60">
      <c r="A60" t="inlineStr">
        <is>
          <t>border-notifications</t>
        </is>
      </c>
      <c r="B60" t="n">
        <v>4</v>
      </c>
      <c r="C60" t="inlineStr">
        <is>
          <t>Freight &amp; clearance</t>
        </is>
      </c>
    </row>
    <row r="61">
      <c r="A61" t="inlineStr">
        <is>
          <t>biweekly-reports</t>
        </is>
      </c>
      <c r="B61" t="n">
        <v>4</v>
      </c>
      <c r="C61" t="inlineStr">
        <is>
          <t>Collaboration</t>
        </is>
      </c>
    </row>
    <row r="62">
      <c r="A62" t="inlineStr">
        <is>
          <t>quality</t>
        </is>
      </c>
      <c r="B62" t="n">
        <v>4</v>
      </c>
      <c r="C62" t="inlineStr">
        <is>
          <t>Data quality</t>
        </is>
      </c>
    </row>
    <row r="63">
      <c r="A63" t="inlineStr">
        <is>
          <t>predictive</t>
        </is>
      </c>
      <c r="B63" t="n">
        <v>4</v>
      </c>
      <c r="C63" t="inlineStr">
        <is>
          <t>Analytics &amp; prediction</t>
        </is>
      </c>
    </row>
    <row r="64">
      <c r="A64" t="inlineStr">
        <is>
          <t>provenance</t>
        </is>
      </c>
      <c r="B64" t="n">
        <v>4</v>
      </c>
      <c r="C64" t="inlineStr">
        <is>
          <t>Data quality</t>
        </is>
      </c>
    </row>
    <row r="65">
      <c r="A65" t="inlineStr">
        <is>
          <t>cameras</t>
        </is>
      </c>
      <c r="B65" t="n">
        <v>3</v>
      </c>
      <c r="C65" t="inlineStr">
        <is>
          <t>Validation</t>
        </is>
      </c>
    </row>
    <row r="66">
      <c r="A66" t="inlineStr">
        <is>
          <t>convert</t>
        </is>
      </c>
      <c r="B66" t="n">
        <v>3</v>
      </c>
      <c r="C66" t="inlineStr">
        <is>
          <t>Core event data</t>
        </is>
      </c>
    </row>
    <row r="67">
      <c r="A67" t="inlineStr">
        <is>
          <t>compliance</t>
        </is>
      </c>
      <c r="B67" t="n">
        <v>3</v>
      </c>
      <c r="C67" t="inlineStr">
        <is>
          <t>Data quality</t>
        </is>
      </c>
    </row>
    <row r="68">
      <c r="A68" t="inlineStr">
        <is>
          <t>traveler</t>
        </is>
      </c>
      <c r="B68" t="n">
        <v>3</v>
      </c>
      <c r="C68" t="inlineStr">
        <is>
          <t>Traveler info</t>
        </is>
      </c>
    </row>
    <row r="69">
      <c r="A69" t="inlineStr">
        <is>
          <t>bim</t>
        </is>
      </c>
      <c r="B69" t="n">
        <v>3</v>
      </c>
      <c r="C69" t="inlineStr">
        <is>
          <t>ITS / infrastructure</t>
        </is>
      </c>
    </row>
    <row r="70">
      <c r="A70" t="inlineStr">
        <is>
          <t>chat</t>
        </is>
      </c>
      <c r="B70" t="n">
        <v>3</v>
      </c>
      <c r="C70" t="inlineStr">
        <is>
          <t>Platform / AI</t>
        </is>
      </c>
    </row>
    <row r="71">
      <c r="A71" t="inlineStr">
        <is>
          <t>bridge-clearances</t>
        </is>
      </c>
      <c r="B71" t="n">
        <v>3</v>
      </c>
      <c r="C71" t="inlineStr">
        <is>
          <t>Freight &amp; clearance</t>
        </is>
      </c>
    </row>
    <row r="72">
      <c r="A72" t="inlineStr">
        <is>
          <t>state-osow-regulations</t>
        </is>
      </c>
      <c r="B72" t="n">
        <v>3</v>
      </c>
      <c r="C72" t="inlineStr">
        <is>
          <t>Freight &amp; clearance</t>
        </is>
      </c>
    </row>
    <row r="73">
      <c r="A73" t="inlineStr">
        <is>
          <t>predictive-maintenance</t>
        </is>
      </c>
      <c r="B73" t="n">
        <v>3</v>
      </c>
      <c r="C73" t="inlineStr">
        <is>
          <t>ITS / infrastructure</t>
        </is>
      </c>
    </row>
    <row r="74">
      <c r="A74" t="inlineStr">
        <is>
          <t>assets</t>
        </is>
      </c>
      <c r="B74" t="n">
        <v>3</v>
      </c>
      <c r="C74" t="inlineStr">
        <is>
          <t>ITS / infrastructure</t>
        </is>
      </c>
    </row>
    <row r="75">
      <c r="A75" t="inlineStr">
        <is>
          <t>devices</t>
        </is>
      </c>
      <c r="B75" t="n">
        <v>2</v>
      </c>
      <c r="C75" t="inlineStr">
        <is>
          <t>Validation</t>
        </is>
      </c>
    </row>
    <row r="76">
      <c r="A76" t="inlineStr">
        <is>
          <t>cwz</t>
        </is>
      </c>
      <c r="B76" t="n">
        <v>2</v>
      </c>
      <c r="C76" t="inlineStr">
        <is>
          <t>Published feeds (CWZ 1.0)</t>
        </is>
      </c>
    </row>
    <row r="77">
      <c r="A77" t="inlineStr">
        <is>
          <t>debug</t>
        </is>
      </c>
      <c r="B77" t="n">
        <v>2</v>
      </c>
      <c r="C77" t="inlineStr">
        <is>
          <t>Platform</t>
        </is>
      </c>
    </row>
    <row r="78">
      <c r="A78" t="inlineStr">
        <is>
          <t>warnings</t>
        </is>
      </c>
      <c r="B78" t="n">
        <v>2</v>
      </c>
      <c r="C78" t="inlineStr">
        <is>
          <t>Alerting</t>
        </is>
      </c>
    </row>
    <row r="79">
      <c r="A79" t="inlineStr">
        <is>
          <t>xapi</t>
        </is>
      </c>
      <c r="B79" t="n">
        <v>2</v>
      </c>
      <c r="C79" t="inlineStr">
        <is>
          <t>Platform</t>
        </is>
      </c>
    </row>
    <row r="80">
      <c r="A80" t="inlineStr">
        <is>
          <t>analysis</t>
        </is>
      </c>
      <c r="B80" t="n">
        <v>2</v>
      </c>
      <c r="C80" t="inlineStr">
        <is>
          <t>Data quality</t>
        </is>
      </c>
    </row>
    <row r="81">
      <c r="A81" t="inlineStr">
        <is>
          <t>corridors</t>
        </is>
      </c>
      <c r="B81" t="n">
        <v>2</v>
      </c>
      <c r="C81" t="inlineStr">
        <is>
          <t>Corridor ops</t>
        </is>
      </c>
    </row>
    <row r="82">
      <c r="A82" t="inlineStr">
        <is>
          <t>scheduler</t>
        </is>
      </c>
      <c r="B82" t="n">
        <v>2</v>
      </c>
      <c r="C82" t="inlineStr">
        <is>
          <t>Platform</t>
        </is>
      </c>
    </row>
    <row r="83">
      <c r="A83" t="inlineStr">
        <is>
          <t>coverage-gaps</t>
        </is>
      </c>
      <c r="B83" t="n">
        <v>2</v>
      </c>
      <c r="C83" t="inlineStr">
        <is>
          <t>Data quality</t>
        </is>
      </c>
    </row>
    <row r="84">
      <c r="A84" t="inlineStr">
        <is>
          <t>confidence</t>
        </is>
      </c>
      <c r="B84" t="n">
        <v>2</v>
      </c>
      <c r="C84" t="inlineStr">
        <is>
          <t>Data quality</t>
        </is>
      </c>
    </row>
    <row r="85">
      <c r="A85" t="inlineStr">
        <is>
          <t>funding-opportunities</t>
        </is>
      </c>
      <c r="B85" t="n">
        <v>2</v>
      </c>
      <c r="C85" t="inlineStr">
        <is>
          <t>Grants</t>
        </is>
      </c>
    </row>
    <row r="86">
      <c r="A86" t="inlineStr">
        <is>
          <t>network</t>
        </is>
      </c>
      <c r="B86" t="n">
        <v>2</v>
      </c>
      <c r="C86" t="inlineStr">
        <is>
          <t>ITS / infrastructure</t>
        </is>
      </c>
    </row>
    <row r="87">
      <c r="A87" t="inlineStr">
        <is>
          <t>v2x</t>
        </is>
      </c>
      <c r="B87" t="n">
        <v>2</v>
      </c>
      <c r="C87" t="inlineStr">
        <is>
          <t>ITS / infrastructure</t>
        </is>
      </c>
    </row>
    <row r="88">
      <c r="A88" t="inlineStr">
        <is>
          <t>docs</t>
        </is>
      </c>
      <c r="B88" t="n">
        <v>1</v>
      </c>
      <c r="C88" t="inlineStr">
        <is>
          <t>Platform</t>
        </is>
      </c>
    </row>
    <row r="89">
      <c r="A89" t="inlineStr">
        <is>
          <t>osrm</t>
        </is>
      </c>
      <c r="B89" t="n">
        <v>1</v>
      </c>
      <c r="C89" t="inlineStr">
        <is>
          <t>Routing</t>
        </is>
      </c>
    </row>
    <row r="90">
      <c r="A90" t="inlineStr">
        <is>
          <t>nbi</t>
        </is>
      </c>
      <c r="B90" t="n">
        <v>1</v>
      </c>
      <c r="C90" t="inlineStr">
        <is>
          <t>Freight &amp; clearance</t>
        </is>
      </c>
    </row>
    <row r="91">
      <c r="A91" t="inlineStr">
        <is>
          <t>major-events</t>
        </is>
      </c>
      <c r="B91" t="n">
        <v>1</v>
      </c>
      <c r="C91" t="inlineStr">
        <is>
          <t>Demand / events</t>
        </is>
      </c>
    </row>
    <row r="92">
      <c r="A92" t="inlineStr">
        <is>
          <t>ia</t>
        </is>
      </c>
      <c r="B92" t="n">
        <v>1</v>
      </c>
      <c r="C92" t="inlineStr">
        <is>
          <t>State-specific</t>
        </is>
      </c>
    </row>
    <row r="93">
      <c r="A93" t="inlineStr">
        <is>
          <t>health</t>
        </is>
      </c>
      <c r="B93" t="n">
        <v>1</v>
      </c>
      <c r="C93" t="inlineStr">
        <is>
          <t>Platform</t>
        </is>
      </c>
    </row>
    <row r="94">
      <c r="A94" t="inlineStr">
        <is>
          <t>fix-texas</t>
        </is>
      </c>
      <c r="B94" t="n">
        <v>1</v>
      </c>
      <c r="C94" t="inlineStr">
        <is>
          <t>Maintenance</t>
        </is>
      </c>
    </row>
    <row r="95">
      <c r="A95" t="inlineStr">
        <is>
          <t>db-status</t>
        </is>
      </c>
      <c r="B95" t="n">
        <v>1</v>
      </c>
      <c r="C95" t="inlineStr">
        <is>
          <t>Platform</t>
        </is>
      </c>
    </row>
    <row r="96">
      <c r="A96" t="inlineStr">
        <is>
          <t>geofences</t>
        </is>
      </c>
      <c r="B96" t="n">
        <v>1</v>
      </c>
      <c r="C96" t="inlineStr">
        <is>
          <t>Alerting</t>
        </is>
      </c>
    </row>
    <row r="97">
      <c r="A97" t="inlineStr">
        <is>
          <t>truck-parking</t>
        </is>
      </c>
      <c r="B97" t="n">
        <v>1</v>
      </c>
      <c r="C97" t="inlineStr">
        <is>
          <t>Truck parking</t>
        </is>
      </c>
    </row>
    <row r="98">
      <c r="A98" t="inlineStr">
        <is>
          <t>interchanges</t>
        </is>
      </c>
      <c r="B98" t="n">
        <v>1</v>
      </c>
      <c r="C98" t="inlineStr">
        <is>
          <t>Reference data</t>
        </is>
      </c>
    </row>
    <row r="99">
      <c r="A99" t="inlineStr">
        <is>
          <t>detour-alerts</t>
        </is>
      </c>
      <c r="B99" t="n">
        <v>1</v>
      </c>
      <c r="C99" t="inlineStr">
        <is>
          <t>Corridor ops</t>
        </is>
      </c>
    </row>
    <row r="100">
      <c r="A100" t="inlineStr">
        <is>
          <t>bridge-warnings</t>
        </is>
      </c>
      <c r="B100" t="n">
        <v>1</v>
      </c>
      <c r="C100" t="inlineStr">
        <is>
          <t>Freight &amp; clearance</t>
        </is>
      </c>
    </row>
    <row r="101">
      <c r="A101" t="inlineStr">
        <is>
          <t>bridges</t>
        </is>
      </c>
      <c r="B101" t="n">
        <v>1</v>
      </c>
      <c r="C101" t="inlineStr">
        <is>
          <t>Freight &amp; clearance</t>
        </is>
      </c>
    </row>
    <row r="102">
      <c r="A102" t="inlineStr">
        <is>
          <t>corridor-regulations</t>
        </is>
      </c>
      <c r="B102" t="n">
        <v>1</v>
      </c>
      <c r="C102" t="inlineStr">
        <is>
          <t>Corridor ops</t>
        </is>
      </c>
    </row>
    <row r="103">
      <c r="A103" t="inlineStr">
        <is>
          <t>corridor-briefing</t>
        </is>
      </c>
      <c r="B103" t="n">
        <v>1</v>
      </c>
      <c r="C103" t="inlineStr">
        <is>
          <t>Corridor ops</t>
        </is>
      </c>
    </row>
    <row r="104">
      <c r="A104" t="inlineStr">
        <is>
          <t>nasco-corridor-summary</t>
        </is>
      </c>
      <c r="B104" t="n">
        <v>1</v>
      </c>
      <c r="C104" t="inlineStr">
        <is>
          <t>Analytics &amp; prediction</t>
        </is>
      </c>
    </row>
    <row r="105">
      <c r="A105" t="inlineStr">
        <is>
          <t>nasco-corridor-ai-analysis</t>
        </is>
      </c>
      <c r="B105" t="n">
        <v>1</v>
      </c>
      <c r="C105" t="inlineStr">
        <is>
          <t>Analytics &amp; prediction</t>
        </is>
      </c>
    </row>
    <row r="106">
      <c r="A106" t="inlineStr">
        <is>
          <t>feeds</t>
        </is>
      </c>
      <c r="B106" t="n">
        <v>1</v>
      </c>
      <c r="C106" t="inlineStr">
        <is>
          <t>Data quality</t>
        </is>
      </c>
    </row>
    <row r="107">
      <c r="A107" t="inlineStr">
        <is>
          <t>weather-alerts</t>
        </is>
      </c>
      <c r="B107" t="n">
        <v>1</v>
      </c>
      <c r="C107" t="inlineStr">
        <is>
          <t>Weather</t>
        </is>
      </c>
    </row>
    <row r="108">
      <c r="A108" t="inlineStr">
        <is>
          <t>border-wait-times</t>
        </is>
      </c>
      <c r="B108" t="n">
        <v>1</v>
      </c>
      <c r="C108" t="inlineStr">
        <is>
          <t>Freight &amp; clearance</t>
        </is>
      </c>
    </row>
    <row r="109">
      <c r="A109" t="inlineStr">
        <is>
          <t>maasto-tpims</t>
        </is>
      </c>
      <c r="B109" t="n">
        <v>1</v>
      </c>
      <c r="C109" t="inlineStr">
        <is>
          <t>Truck parking</t>
        </is>
      </c>
    </row>
    <row r="110">
      <c r="A110" t="inlineStr">
        <is>
          <t>*</t>
        </is>
      </c>
      <c r="B110" t="n">
        <v>1</v>
      </c>
      <c r="C110" t="inlineStr">
        <is>
          <t>Platform</t>
        </is>
      </c>
    </row>
    <row r="111">
      <c r="A111" t="inlineStr">
        <is>
          <t>compress</t>
        </is>
      </c>
      <c r="B111" t="n">
        <v>1</v>
      </c>
      <c r="C111" t="inlineStr">
        <is>
          <t>Utility</t>
        </is>
      </c>
    </row>
    <row r="112">
      <c r="A112" t="inlineStr">
        <is>
          <t>decompress</t>
        </is>
      </c>
      <c r="B112" t="n">
        <v>1</v>
      </c>
      <c r="C112" t="inlineStr">
        <is>
          <t>Utility</t>
        </is>
      </c>
    </row>
    <row r="114">
      <c r="A114" s="2" t="inlineStr">
        <is>
          <t>Tabs</t>
        </is>
      </c>
    </row>
    <row r="115">
      <c r="A115" t="inlineStr">
        <is>
          <t>Internal REST API - every endpoint the platform serves</t>
        </is>
      </c>
    </row>
    <row r="116">
      <c r="A116" t="inlineStr">
        <is>
          <t>State Feed Registry - the 37 upstream state feeds in states.db</t>
        </is>
      </c>
    </row>
    <row r="117">
      <c r="A117" t="inlineStr">
        <is>
          <t>External APIs Consumed - third-party and agency services the platform calls</t>
        </is>
      </c>
    </row>
    <row r="118">
      <c r="A118" t="inlineStr">
        <is>
          <t>Published Feeds - what the platform emits for others to consume</t>
        </is>
      </c>
    </row>
    <row r="120">
      <c r="A120" s="2" t="inlineStr">
        <is>
          <t>Camera / DMS / validation tabs</t>
        </is>
      </c>
    </row>
    <row r="121">
      <c r="A121" t="inlineStr">
        <is>
          <t>Camera Sources - 15 state camera networks with live unit counts (pulled 2026-09-03)</t>
        </is>
      </c>
    </row>
    <row r="122">
      <c r="A122" t="inlineStr">
        <is>
          <t>DMS + Device Sources - 18 state DMS / arrow-board feeds; 8 are key-gated and currently skipped</t>
        </is>
      </c>
    </row>
    <row r="123">
      <c r="A123" t="inlineStr">
        <is>
          <t>Validation Logic - every validation rule and threshold, ingest through CWZ 1.0 composition</t>
        </is>
      </c>
    </row>
    <row r="125">
      <c r="A125" s="2" t="inlineStr">
        <is>
          <t>Data flow</t>
        </is>
      </c>
    </row>
    <row r="126">
      <c r="A126" t="inlineStr">
        <is>
          <t>Data Pulled + How Used - every dataset ingested (36 across 24 domains): source, extracted fields, refresh cadence, storage, consumers, and which outbound feed it reaches</t>
        </is>
      </c>
    </row>
    <row r="128">
      <c r="A128" s="2" t="inlineStr">
        <is>
          <t>State coverage</t>
        </is>
      </c>
    </row>
    <row r="129">
      <c r="A129" t="inlineStr">
        <is>
          <t>State Coverage Matrix - all 50 states + DC, showing which channels reach each one</t>
        </is>
      </c>
    </row>
    <row r="130">
      <c r="A130" t="inlineStr">
        <is>
          <t>33 states have a work-zone event feed; 15 have cameras; 9 have a live DMS/device feed</t>
        </is>
      </c>
    </row>
    <row r="131">
      <c r="A131" t="inlineStr">
        <is>
          <t>Maine has cameras + a portable-DMS feed but NO event feed - the closest state to full coverage</t>
        </is>
      </c>
    </row>
    <row r="132">
      <c r="A132" t="inlineStr">
        <is>
          <t>17 (16 states + DC) are reached only by nationwide NWS weather alerts: AL AK AR CT DC MI MT NH ND OR RI SC SD TN VT WV WY</t>
        </is>
      </c>
    </row>
    <row r="133">
      <c r="A133" t="inlineStr">
        <is>
          <t>8 more device feeds unlock with a free 511 key: UT LA AZ NC NJ WI NV ID</t>
        </is>
      </c>
    </row>
    <row r="135">
      <c r="A135" s="2" t="inlineStr">
        <is>
          <t>Connected arrow boards</t>
        </is>
      </c>
    </row>
    <row r="136">
      <c r="A136" t="inlineStr">
        <is>
          <t>66 arrow boards total, from only 2 states: Iowa 62 (DMS_View) and Washington 4 (WZDx v4 Device Feed)</t>
        </is>
      </c>
    </row>
    <row r="137">
      <c r="A137" t="inlineStr">
        <is>
          <t>Every other device feed returns portable DMS, not arrow boards - 425 portable units across NY/PA/ME/OK</t>
        </is>
      </c>
    </row>
    <row r="138">
      <c r="A138" t="inlineStr">
        <is>
          <t>Washington is the ONLY source with a properly typed device_type field; Iowa's are inferred from a device-name regex</t>
        </is>
      </c>
    </row>
    <row r="139">
      <c r="A139" t="inlineStr">
        <is>
          <t>Vendor arrow-board fleets (iCone, Ver-Mac, HaulHub, Drivewyze) are not ingested directly - that is the MITRE partnership path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7"/>
  <sheetViews>
    <sheetView workbookViewId="0">
      <pane ySplit="1" topLeftCell="A2" activePane="bottomLeft" state="frozen"/>
      <selection pane="bottomLeft" activeCell="A1" sqref="A1"/>
    </sheetView>
  </sheetViews>
  <sheetFormatPr baseColWidth="8" defaultRowHeight="15"/>
  <cols>
    <col width="14" customWidth="1" min="1" max="1"/>
    <col width="34" customWidth="1" min="2" max="2"/>
    <col width="40" customWidth="1" min="3" max="3"/>
    <col width="62" customWidth="1" min="4" max="4"/>
    <col width="40" customWidth="1" min="5" max="5"/>
    <col width="46" customWidth="1" min="6" max="6"/>
    <col width="62" customWidth="1" min="7" max="7"/>
    <col width="34" customWidth="1" min="8" max="8"/>
    <col width="40" customWidth="1" min="9" max="9"/>
  </cols>
  <sheetData>
    <row r="1" ht="32" customHeight="1">
      <c r="A1" s="4" t="inlineStr">
        <is>
          <t>Domain</t>
        </is>
      </c>
      <c r="B1" s="4" t="inlineStr">
        <is>
          <t>Dataset</t>
        </is>
      </c>
      <c r="C1" s="4" t="inlineStr">
        <is>
          <t>Source</t>
        </is>
      </c>
      <c r="D1" s="4" t="inlineStr">
        <is>
          <t>What we extract</t>
        </is>
      </c>
      <c r="E1" s="4" t="inlineStr">
        <is>
          <t>Refresh cadence</t>
        </is>
      </c>
      <c r="F1" s="4" t="inlineStr">
        <is>
          <t>Where it lands</t>
        </is>
      </c>
      <c r="G1" s="4" t="inlineStr">
        <is>
          <t>How it is used</t>
        </is>
      </c>
      <c r="H1" s="4" t="inlineStr">
        <is>
          <t>Emitted in</t>
        </is>
      </c>
      <c r="I1" s="4" t="inlineStr">
        <is>
          <t>Implemented in</t>
        </is>
      </c>
    </row>
    <row r="2">
      <c r="A2" s="11" t="inlineStr">
        <is>
          <t>Work zones</t>
        </is>
      </c>
      <c r="B2" s="5" t="inlineStr">
        <is>
          <t>State work-zone events (WZDx v4.x / CWZ)</t>
        </is>
      </c>
      <c r="C2" s="5" t="inlineStr">
        <is>
          <t>37 registered feeds covering 33 US states, plus DTCD, Quebec City and Austin TX - see 'State Feed Registry' and 'State Coverage Matrix'</t>
        </is>
      </c>
      <c r="D2" s="5" t="inlineStr">
        <is>
          <t>Event id, type, route, direction, start/end time, description, lanes affected, severity, geometry</t>
        </is>
      </c>
      <c r="E2" s="5" t="inlineStr">
        <is>
          <t>On demand: 5-min cache, background refresh triggered at 4 min. No user-facing polling</t>
        </is>
      </c>
      <c r="F2" s="5" t="inlineStr">
        <is>
          <t>eventsCache (in-process) + cached_events table with provenance, confidence_score, quality_flags, validation_status</t>
        </is>
      </c>
      <c r="G2" s="5" t="inlineStr">
        <is>
          <t>The corridor map, /api/events, every validator's input set, DQI scoring, report cards</t>
        </is>
      </c>
      <c r="H2" s="5" t="inlineStr">
        <is>
          <t>WZDx v4.2 feed, CWZ 1.0 RoadEvent feed, CIFS, TIM</t>
        </is>
      </c>
      <c r="I2" s="5" t="inlineStr">
        <is>
          <t>backend_proxy_server.js, services/event-adapters.js</t>
        </is>
      </c>
    </row>
    <row r="3">
      <c r="A3" s="9" t="inlineStr">
        <is>
          <t>Work zones</t>
        </is>
      </c>
      <c r="B3" s="8" t="inlineStr">
        <is>
          <t>Iowa lane-closure planning data</t>
        </is>
      </c>
      <c r="C3" s="8" t="inlineStr">
        <is>
          <t>Iowa DOT RoadClosures_public (AGOL, CORS-open)</t>
        </is>
      </c>
      <c r="D3" s="8" t="inlineStr">
        <is>
          <t>Planned closure geometry, route, dates</t>
        </is>
      </c>
      <c r="E3" s="8" t="inlineStr">
        <is>
          <t>On demand when a builder opens</t>
        </is>
      </c>
      <c r="F3" s="8" t="inlineStr">
        <is>
          <t>Client-side in the builder (no backend hop)</t>
        </is>
      </c>
      <c r="G3" s="8" t="inlineStr">
        <is>
          <t>Conflict check in the CARS 511 request builder - warns when a new request overlaps a planned closure</t>
        </is>
      </c>
      <c r="H3" s="8" t="inlineStr">
        <is>
          <t>-</t>
        </is>
      </c>
      <c r="I3" s="8" t="inlineStr">
        <is>
          <t>frontend builders (self-contained)</t>
        </is>
      </c>
    </row>
    <row r="4">
      <c r="A4" s="11" t="inlineStr">
        <is>
          <t>Work zones</t>
        </is>
      </c>
      <c r="B4" s="5" t="inlineStr">
        <is>
          <t>Mobile / fast-refresh feeds (Field Escort)</t>
        </is>
      </c>
      <c r="C4" s="5" t="inlineStr">
        <is>
          <t>purposebuiltsystems.github.io + registered plugin feeds</t>
        </is>
      </c>
      <c r="D4" s="5" t="inlineStr">
        <is>
          <t>Transient machine-published WZDx GeoJSON, expires_at</t>
        </is>
      </c>
      <c r="E4" s="5" t="inlineStr">
        <is>
          <t>Per-feed timer honoring plugin_data_feeds.refresh_interval (sub-hour)</t>
        </is>
      </c>
      <c r="F4" s="5" t="inlineStr">
        <is>
          <t>plugin_data_feeds tables, UPSERT by machine id, expired rows pruned</t>
        </is>
      </c>
      <c r="G4" s="5" t="inlineStr">
        <is>
          <t>Adds mobile/short-duration zones the hourly CIFS poller misses</t>
        </is>
      </c>
      <c r="H4" s="5" t="inlineStr">
        <is>
          <t>Flows into /api/events downstream</t>
        </is>
      </c>
      <c r="I4" s="5" t="inlineStr">
        <is>
          <t>services/mobile-feed-ingest.js (draft, inert until wired in)</t>
        </is>
      </c>
    </row>
    <row r="5">
      <c r="A5" s="12" t="inlineStr">
        <is>
          <t>Devices</t>
        </is>
      </c>
      <c r="B5" s="8" t="inlineStr">
        <is>
          <t>DMS + arrow board / portable sign feeds</t>
        </is>
      </c>
      <c r="C5" s="8" t="inlineStr">
        <is>
          <t>18 state feeds - see 'DMS + Device Sources'</t>
        </is>
      </c>
      <c r="D5" s="8" t="inlineStr">
        <is>
          <t>Device id, type, portable flag, route, direction, coordinates, displayed message, mode.displaying, last updated</t>
        </is>
      </c>
      <c r="E5" s="8" t="inlineStr">
        <is>
          <t>Refreshed alongside the event cache (~5 min); Iowa DMS_View cached 10 min</t>
        </is>
      </c>
      <c r="F5" s="8" t="inlineStr">
        <is>
          <t>devicesCache (roster + auto-links + review queue)</t>
        </is>
      </c>
      <c r="G5" s="8" t="inlineStr">
        <is>
          <t>Device-to-work-zone auto-association (the strongest validator); DMS text corroboration; validation panel</t>
        </is>
      </c>
      <c r="H5" s="8" t="inlineStr">
        <is>
          <t>CWZ 1.0 Device feed; x_cwz_connected / x_connected_devices on the RoadEvent feed</t>
        </is>
      </c>
      <c r="I5" s="8" t="inlineStr">
        <is>
          <t>services/device-adapters.js, device-workzone-matcher.js, dms-corroboration.js</t>
        </is>
      </c>
    </row>
    <row r="6">
      <c r="A6" s="21" t="inlineStr">
        <is>
          <t>Cameras</t>
        </is>
      </c>
      <c r="B6" s="5" t="inlineStr">
        <is>
          <t>Traffic camera inventory + still snapshots</t>
        </is>
      </c>
      <c r="C6" s="5" t="inlineStr">
        <is>
          <t>15 state networks - see 'Camera Sources' (21,941 cameras)</t>
        </is>
      </c>
      <c r="D6" s="5" t="inlineStr">
        <is>
          <t>Camera id, route, direction, milepost, coordinates, current still-image URL</t>
        </is>
      </c>
      <c r="E6" s="5" t="inlineStr">
        <is>
          <t>Inventory cached 30 min (locations are static); snapshots fetched only when a check is due</t>
        </is>
      </c>
      <c r="F6" s="5" t="inlineStr">
        <is>
          <t>In-process camera cache; per-closure state in camera_check_ledger</t>
        </is>
      </c>
      <c r="G6" s="5" t="inlineStr">
        <is>
          <t>Camera-vision validation of whether traffic control is physically deployed; the daily removal check</t>
        </is>
      </c>
      <c r="H6" s="5" t="inlineStr">
        <is>
          <t>x_camera_verified / x_camera_detected / x_camera_url on the CWZ feed</t>
        </is>
      </c>
      <c r="I6" s="5" t="inlineStr">
        <is>
          <t>services/camera-adapters.js, camera-validation.js, camera-scan.js</t>
        </is>
      </c>
    </row>
    <row r="7">
      <c r="A7" s="22" t="inlineStr">
        <is>
          <t>Cameras</t>
        </is>
      </c>
      <c r="B7" s="8" t="inlineStr">
        <is>
          <t>Vision inference results</t>
        </is>
      </c>
      <c r="C7" s="8" t="inlineStr">
        <is>
          <t>Anthropic Messages API (or OpenAI / a self-hosted YOLO endpoint)</t>
        </is>
      </c>
      <c r="D7" s="8" t="inlineStr">
        <is>
          <t>{work_zone, deployed, staged_only, devices[arrow-board, cones, barrels, drums, signs, workers, tma], confidence}</t>
        </is>
      </c>
      <c r="E7" s="8" t="inlineStr">
        <is>
          <t>One inference per due closure, max 2 per closure ever, 10-min per-snapshot cache, 25 zones per scan</t>
        </is>
      </c>
      <c r="F7" s="8" t="inlineStr">
        <is>
          <t>Elevation flags on the event + a training log (VISION_TRAINING_LOG on the Railway /data volume)</t>
        </is>
      </c>
      <c r="G7" s="8" t="inlineStr">
        <is>
          <t>Confirms deployed (not stored) traffic control; feeds the removal state machine</t>
        </is>
      </c>
      <c r="H7" s="8" t="inlineStr">
        <is>
          <t>x_camera_* fields</t>
        </is>
      </c>
      <c r="I7" s="8" t="inlineStr">
        <is>
          <t>services/camera-validation.js, vision-training-log.js</t>
        </is>
      </c>
    </row>
    <row r="8">
      <c r="A8" s="23" t="inlineStr">
        <is>
          <t>Probe traffic</t>
        </is>
      </c>
      <c r="B8" s="5" t="inlineStr">
        <is>
          <t>TomTom traffic incidents</t>
        </is>
      </c>
      <c r="C8" s="5" t="inlineStr">
        <is>
          <t>TomTom Traffic Incident Details v5</t>
        </is>
      </c>
      <c r="D8" s="5" t="inlineStr">
        <is>
          <t>Incident id, iconCategory (7 lane closed / 8 road closed / 9 road works), lat/lon, description</t>
        </is>
      </c>
      <c r="E8" s="5" t="inlineStr">
        <is>
          <t>Lazy: only polled when the layer is requested. Corridor TTL 45 min, zone-tile TTL 6 h (~800 req/day, self-capped at 2500)</t>
        </is>
      </c>
      <c r="F8" s="5" t="inlineStr">
        <is>
          <t>tomtomCache + tomtomZoneCache; validations banked in the validation ledger</t>
        </is>
      </c>
      <c r="G8" s="5" t="inlineStr">
        <is>
          <t>Independent non-DOT corroboration of work zones; the DOT-vs-consumer-nav deviation view</t>
        </is>
      </c>
      <c r="H8" s="5" t="inlineStr">
        <is>
          <t>x_tomtom_corroborated</t>
        </is>
      </c>
      <c r="I8" s="5" t="inlineStr">
        <is>
          <t>services/tomtom-incidents.js, tomtom-corroboration.js, tomtom-deviation.js</t>
        </is>
      </c>
    </row>
    <row r="9">
      <c r="A9" s="15" t="inlineStr">
        <is>
          <t>Weather</t>
        </is>
      </c>
      <c r="B9" s="8" t="inlineStr">
        <is>
          <t>NWS active CAP alerts</t>
        </is>
      </c>
      <c r="C9" s="8" t="inlineStr">
        <is>
          <t>https://api.weather.gov/alerts/active</t>
        </is>
      </c>
      <c r="D9" s="8" t="inlineStr">
        <is>
          <t>Alert id, event label, severity, urgency, certainty, areaDesc, derived state codes, geometry</t>
        </is>
      </c>
      <c r="E9" s="8" t="inlineStr">
        <is>
          <t>On demand, cached</t>
        </is>
      </c>
      <c r="F9" s="8" t="inlineStr">
        <is>
          <t>In-process cache</t>
        </is>
      </c>
      <c r="G9" s="8" t="inlineStr">
        <is>
          <t>Weather hazards on the corridor map; the ONLY source reaching the 16 states + DC with no event, camera or device feed; IPAWS context</t>
        </is>
      </c>
      <c r="H9" s="8" t="inlineStr">
        <is>
          <t>/api/weather-alerts</t>
        </is>
      </c>
      <c r="I9" s="8" t="inlineStr">
        <is>
          <t>services/nws-alerts.js</t>
        </is>
      </c>
    </row>
    <row r="10">
      <c r="A10" s="25" t="inlineStr">
        <is>
          <t>Safety</t>
        </is>
      </c>
      <c r="B10" s="5" t="inlineStr">
        <is>
          <t>FARS historical crash records</t>
        </is>
      </c>
      <c r="C10" s="5" t="inlineStr">
        <is>
          <t>NHTSA annual national CSV bundles (static.nhtsa.gov)</t>
        </is>
      </c>
      <c r="D10" s="5" t="inlineStr">
        <is>
          <t>accident.csv LATITUDE/LONGITUD, WRK_ZONE (0-4); vehicle.csv BODY_TYP large-truck range + MCARR_ID</t>
        </is>
      </c>
      <c r="E10" s="5" t="inlineStr">
        <is>
          <t>Monthly - scheduler runs on the 2nd at 4:00 AM. (The live CrashAPI 403s datacenter IPs, hence bulk files)</t>
        </is>
      </c>
      <c r="F10" s="5" t="inlineStr">
        <is>
          <t>crash_records in the PostGIS Postgres via crashDb (not the SQLite db)</t>
        </is>
      </c>
      <c r="G10" s="5" t="inlineStr">
        <is>
          <t>Crash analytics: commercial-vehicle involvement and work-zone crashes clipped to within CRASH_CORRIDOR_BUFFER_MILES of the I-80 / I-35 polyline</t>
        </is>
      </c>
      <c r="H10" s="5" t="inlineStr">
        <is>
          <t>/api/crashes/*</t>
        </is>
      </c>
      <c r="I10" s="5" t="inlineStr">
        <is>
          <t>services/crash-data-service.js, scheduler-service.js</t>
        </is>
      </c>
    </row>
    <row r="11">
      <c r="A11" s="20" t="inlineStr">
        <is>
          <t>Emergency</t>
        </is>
      </c>
      <c r="B11" s="8" t="inlineStr">
        <is>
          <t>IPAWS / WEA alerting</t>
        </is>
      </c>
      <c r="C11" s="8" t="inlineStr">
        <is>
          <t>Iowa DOT IPAWS policy; 511ia.org + OSRM for geometry</t>
        </is>
      </c>
      <c r="D11" s="8" t="inlineStr">
        <is>
          <t>Qualifying closures (&gt;= 4 h or imminent danger), geofence polygons, CAP-XML payloads</t>
        </is>
      </c>
      <c r="E11" s="8" t="inlineStr">
        <is>
          <t>Evaluated against the active event set</t>
        </is>
      </c>
      <c r="F11" s="8" t="inlineStr">
        <is>
          <t>ipaws_alert_log / ipaws_active_alerts (+ _lite variants)</t>
        </is>
      </c>
      <c r="G11" s="8" t="inlineStr">
        <is>
          <t>Automatic WEA qualification, precision geofence with population masking, multilingual CAP (EN/ES/Lao/Somali), audit log</t>
        </is>
      </c>
      <c r="H11" s="8" t="inlineStr">
        <is>
          <t>/api/ipaws/* (33 endpoints)</t>
        </is>
      </c>
      <c r="I11" s="8" t="inlineStr">
        <is>
          <t>services/ipaws-alert-service.js, ipaws-alert-service-lite.js</t>
        </is>
      </c>
    </row>
    <row r="12">
      <c r="A12" s="11" t="inlineStr">
        <is>
          <t>Population</t>
        </is>
      </c>
      <c r="B12" s="5" t="inlineStr">
        <is>
          <t>Census population + urban extent</t>
        </is>
      </c>
      <c r="C12" s="5" t="inlineStr">
        <is>
          <t>Census decennial PL, TIGERweb, OSM Overpass/Nominatim, Google Earth Engine (LandScan)</t>
        </is>
      </c>
      <c r="D12" s="5" t="inlineStr">
        <is>
          <t>Block-level population, urban area boundaries, POI/road context</t>
        </is>
      </c>
      <c r="E12" s="5" t="inlineStr">
        <is>
          <t>On demand per geofence</t>
        </is>
      </c>
      <c r="F12" s="5" t="inlineStr">
        <is>
          <t>Computed per request; cached</t>
        </is>
      </c>
      <c r="G12" s="5" t="inlineStr">
        <is>
          <t>Population inside an IPAWS geofence, exclusion of populated/urban areas, real-time population-impact estimates for alert targeting</t>
        </is>
      </c>
      <c r="H12" s="5" t="inlineStr">
        <is>
          <t>/api/population/*</t>
        </is>
      </c>
      <c r="I12" s="5" t="inlineStr">
        <is>
          <t>services/population-density-service.js</t>
        </is>
      </c>
    </row>
    <row r="13">
      <c r="A13" s="12" t="inlineStr">
        <is>
          <t>Truck parking</t>
        </is>
      </c>
      <c r="B13" s="8" t="inlineStr">
        <is>
          <t>MAASTO TPIMS static + dynamic</t>
        </is>
      </c>
      <c r="C13" s="8" t="inlineStr">
        <is>
          <t>8 Midwest DOTs via truckparking.travelmidwest.com (TPIMS V2.2), plus MnDOT IRIS, WisDOT transportal, TRIMARC</t>
        </is>
      </c>
      <c r="D13" s="8" t="inlineStr">
        <is>
          <t>Static: siteId, lat/lng, name, capacity, amenities. Dynamic: reportedAvailable, trend, open status. Joined on siteId</t>
        </is>
      </c>
      <c r="E13" s="8" t="inlineStr">
        <is>
          <t>Every 30 min (server timer)</t>
        </is>
      </c>
      <c r="F13" s="8" t="inlineStr">
        <is>
          <t>parking_facilities, parking_availability</t>
        </is>
      </c>
      <c r="G13" s="8" t="inlineStr">
        <is>
          <t>Live truck-parking availability on the map; ground truth for the prediction model</t>
        </is>
      </c>
      <c r="H13" s="8" t="inlineStr">
        <is>
          <t>/api/parking/* (28 endpoints), /api/maasto-tpims</t>
        </is>
      </c>
      <c r="I13" s="8" t="inlineStr">
        <is>
          <t>services/maasto-tpims.js</t>
        </is>
      </c>
    </row>
    <row r="14">
      <c r="A14" s="6" t="inlineStr">
        <is>
          <t>Truck parking</t>
        </is>
      </c>
      <c r="B14" s="5" t="inlineStr">
        <is>
          <t>Iowa rest-area camera snapshots</t>
        </is>
      </c>
      <c r="C14" s="5" t="inlineStr">
        <is>
          <t>atmsqf.iowadot.gov/snapshots/Public/RestAreas/*.jpg</t>
        </is>
      </c>
      <c r="D14" s="5" t="inlineStr">
        <is>
          <t>Still images of rest-area entrances, exits and truck-parking aprons</t>
        </is>
      </c>
      <c r="E14" s="5" t="inlineStr">
        <is>
          <t>On demand</t>
        </is>
      </c>
      <c r="F14" s="5" t="inlineStr">
        <is>
          <t>Not stored; read at request time</t>
        </is>
      </c>
      <c r="G14" s="5" t="inlineStr">
        <is>
          <t>Visual occupancy check and calibration against the prediction model</t>
        </is>
      </c>
      <c r="H14" s="5" t="inlineStr">
        <is>
          <t>/api/parking/*</t>
        </is>
      </c>
      <c r="I14" s="5" t="inlineStr">
        <is>
          <t>truck_parking_service.js, services/parking-calibration-service.js</t>
        </is>
      </c>
    </row>
    <row r="15">
      <c r="A15" s="12" t="inlineStr">
        <is>
          <t>Truck parking</t>
        </is>
      </c>
      <c r="B15" s="8" t="inlineStr">
        <is>
          <t>Historical occupancy patterns</t>
        </is>
      </c>
      <c r="C15" s="8" t="inlineStr">
        <is>
          <t>Derived internally from observations + bundled seed data</t>
        </is>
      </c>
      <c r="D15" s="8" t="inlineStr">
        <is>
          <t>Hour-of-week occupancy curves per facility, ground-truth observations, prediction accuracy</t>
        </is>
      </c>
      <c r="E15" s="8" t="inlineStr">
        <is>
          <t>Recomputed on demand; seeded at startup from bundled_data/truck_parking_patterns.json</t>
        </is>
      </c>
      <c r="F15" s="8" t="inlineStr">
        <is>
          <t>parking_patterns, parking_occupancy_patterns, parking_observations, parking_ground_truth_observations, parking_prediction_accuracy</t>
        </is>
      </c>
      <c r="G15" s="8" t="inlineStr">
        <is>
          <t>Availability prediction where no live sensor exists; accuracy scoring of the predictions</t>
        </is>
      </c>
      <c r="H15" s="8" t="inlineStr">
        <is>
          <t>/api/parking/*</t>
        </is>
      </c>
      <c r="I15" s="8" t="inlineStr">
        <is>
          <t>parking_prediction.js, truck_parking_service.js</t>
        </is>
      </c>
    </row>
    <row r="16">
      <c r="A16" s="21" t="inlineStr">
        <is>
          <t>Geometry</t>
        </is>
      </c>
      <c r="B16" s="5" t="inlineStr">
        <is>
          <t>ARNOLD linear-referenced road network</t>
        </is>
      </c>
      <c r="C16" s="5" t="inlineStr">
        <is>
          <t>FHWA/BTS geo.dot.gov ARNOLD_&lt;ST&gt;_&lt;YEAR&gt; FeatureServers (48 mainland states)</t>
        </is>
      </c>
      <c r="D16" s="5" t="inlineStr">
        <is>
          <t>Route polylines by route_id + milepost range</t>
        </is>
      </c>
      <c r="E16" s="5" t="inlineStr">
        <is>
          <t>On demand per event needing geometry</t>
        </is>
      </c>
      <c r="F16" s="5" t="inlineStr">
        <is>
          <t>Enriched onto the event; osrm_geometry_cache / interstate_geometries</t>
        </is>
      </c>
      <c r="G16" s="5" t="inlineStr">
        <is>
          <t>Turns route+milepost work zones into real road-following linework instead of straight lines</t>
        </is>
      </c>
      <c r="H16" s="5" t="inlineStr">
        <is>
          <t>Geometry on every outbound feed</t>
        </is>
      </c>
      <c r="I16" s="5" t="inlineStr">
        <is>
          <t>services/arnold-geometry-service.js</t>
        </is>
      </c>
    </row>
    <row r="17">
      <c r="A17" s="22" t="inlineStr">
        <is>
          <t>Geometry</t>
        </is>
      </c>
      <c r="B17" s="8" t="inlineStr">
        <is>
          <t>State centerlines + milepost layers</t>
        </is>
      </c>
      <c r="C17" s="8" t="inlineStr">
        <is>
          <t>Caltrans SHN, TxDOT Roadways/Mile Markers, NJ, IL, MO, WY, MA, CO ArcGIS services</t>
        </is>
      </c>
      <c r="D17" s="8" t="inlineStr">
        <is>
          <t>State-native route ids and milepost points</t>
        </is>
      </c>
      <c r="E17" s="8" t="inlineStr">
        <is>
          <t>On demand</t>
        </is>
      </c>
      <c r="F17" s="8" t="inlineStr">
        <is>
          <t>Enriched onto the event</t>
        </is>
      </c>
      <c r="G17" s="8" t="inlineStr">
        <is>
          <t>State-centerline-first geometry - fixes the CA/TX case where ARNOLD route_id schemas do not match (CA uses name-composites, not '0005')</t>
        </is>
      </c>
      <c r="H17" s="8" t="inlineStr">
        <is>
          <t>Geometry on outbound feeds</t>
        </is>
      </c>
      <c r="I17" s="8" t="inlineStr">
        <is>
          <t>services/state-centerline-service.js</t>
        </is>
      </c>
    </row>
    <row r="18">
      <c r="A18" s="21" t="inlineStr">
        <is>
          <t>Geometry</t>
        </is>
      </c>
      <c r="B18" s="5" t="inlineStr">
        <is>
          <t>Iowa RAMS reference posts</t>
        </is>
      </c>
      <c r="C18" s="5" t="inlineStr">
        <is>
          <t>gis.iowadot.gov Reference_Post_View</t>
        </is>
      </c>
      <c r="D18" s="5" t="inlineStr">
        <is>
          <t>Route, reference-post chainage</t>
        </is>
      </c>
      <c r="E18" s="5" t="inlineStr">
        <is>
          <t>On demand, cached</t>
        </is>
      </c>
      <c r="F18" s="5" t="inlineStr">
        <is>
          <t>Iowa geometry cache (expired rows cleaned hourly)</t>
        </is>
      </c>
      <c r="G18" s="5" t="inlineStr">
        <is>
          <t>Chainage-based linear position for device-to-work-zone matching, rather than raw straight-line distance</t>
        </is>
      </c>
      <c r="H18" s="5" t="inlineStr">
        <is>
          <t>-</t>
        </is>
      </c>
      <c r="I18" s="5" t="inlineStr">
        <is>
          <t>services/rams-chainage.js, iowa-geometry-service.js</t>
        </is>
      </c>
    </row>
    <row r="19">
      <c r="A19" s="24" t="inlineStr">
        <is>
          <t>Routing</t>
        </is>
      </c>
      <c r="B19" s="8" t="inlineStr">
        <is>
          <t>OSRM driving routes</t>
        </is>
      </c>
      <c r="C19" s="8" t="inlineStr">
        <is>
          <t>router.project-osrm.org /route/v1/driving</t>
        </is>
      </c>
      <c r="D19" s="8" t="inlineStr">
        <is>
          <t>Route geometry (GeoJSON overview), distance, duration</t>
        </is>
      </c>
      <c r="E19" s="8" t="inlineStr">
        <is>
          <t>On demand, queued and rate-limited</t>
        </is>
      </c>
      <c r="F19" s="8" t="inlineStr">
        <is>
          <t>osrm_geometry_cache table (persisted so a route is never re-fetched)</t>
        </is>
      </c>
      <c r="G19" s="8" t="inlineStr">
        <is>
          <t>Detour and diversion-route generation, travel-time estimates, IPAWS geofence shaping</t>
        </is>
      </c>
      <c r="H19" s="8" t="inlineStr">
        <is>
          <t>/api/diversion-routes/*, /api/osrm/*</t>
        </is>
      </c>
      <c r="I19" s="8" t="inlineStr">
        <is>
          <t>backend_proxy_server.js, services/ipaws-alert-service.js</t>
        </is>
      </c>
    </row>
    <row r="20">
      <c r="A20" s="13" t="inlineStr">
        <is>
          <t>Freight</t>
        </is>
      </c>
      <c r="B20" s="5" t="inlineStr">
        <is>
          <t>National Bridge Inventory</t>
        </is>
      </c>
      <c r="C20" s="5" t="inlineStr">
        <is>
          <t>NTAD NBI FeatureServer (services.arcgis.com/xOi1kZaI0eWDREZv)</t>
        </is>
      </c>
      <c r="D20" s="5" t="inlineStr">
        <is>
          <t>Structure location, carries/crosses road names, vertical underclearance, NBI inspection date</t>
        </is>
      </c>
      <c r="E20" s="5" t="inlineStr">
        <is>
          <t>On demand per work zone</t>
        </is>
      </c>
      <c r="F20" s="5" t="inlineStr">
        <is>
          <t>bridge_clearances, bridge_clearance_warnings, bridge_restrictions</t>
        </is>
      </c>
      <c r="G20" s="5" t="inlineStr">
        <is>
          <t>OSOW clearance layer; annotates any work zone with the structures the route passes UNDER (only those actually restrict you) plus a construction-proximity staleness flag</t>
        </is>
      </c>
      <c r="H20" s="5" t="inlineStr">
        <is>
          <t>Clearance fields on the DTCD / CWZ feed, /api/bridge-clearances/*</t>
        </is>
      </c>
      <c r="I20" s="5" t="inlineStr">
        <is>
          <t>services/nbi-clearance.js</t>
        </is>
      </c>
    </row>
    <row r="21">
      <c r="A21" s="15" t="inlineStr">
        <is>
          <t>Freight</t>
        </is>
      </c>
      <c r="B21" s="8" t="inlineStr">
        <is>
          <t>CBP border wait times</t>
        </is>
      </c>
      <c r="C21" s="8" t="inlineStr">
        <is>
          <t>https://bwt.cbp.gov/api/waittimes</t>
        </is>
      </c>
      <c r="D21" s="8" t="inlineStr">
        <is>
          <t>port_number, port_name, crossing_name, border, hours, lane wait times (+ a locally maintained coordinate lookup, since CBP returns no lat/lng)</t>
        </is>
      </c>
      <c r="E21" s="8" t="inlineStr">
        <is>
          <t>On demand</t>
        </is>
      </c>
      <c r="F21" s="8" t="inlineStr">
        <is>
          <t>In-process cache</t>
        </is>
      </c>
      <c r="G21" s="8" t="inlineStr">
        <is>
          <t>Border crossings as map markers with live waits for freight corridor views; wait-time notifications</t>
        </is>
      </c>
      <c r="H21" s="8" t="inlineStr">
        <is>
          <t>/api/border-wait-times, /api/border-notifications/*</t>
        </is>
      </c>
      <c r="I21" s="8" t="inlineStr">
        <is>
          <t>services/border-wait-times.js</t>
        </is>
      </c>
    </row>
    <row r="22">
      <c r="A22" s="13" t="inlineStr">
        <is>
          <t>Freight</t>
        </is>
      </c>
      <c r="B22" s="5" t="inlineStr">
        <is>
          <t>State OSOW regulations + corridor regulations</t>
        </is>
      </c>
      <c r="C22" s="5" t="inlineStr">
        <is>
          <t>Curated / seeded reference content</t>
        </is>
      </c>
      <c r="D22" s="5" t="inlineStr">
        <is>
          <t>Per-state oversize-overweight rules, NASCO corridor regulations</t>
        </is>
      </c>
      <c r="E22" s="5" t="inlineStr">
        <is>
          <t>Seeded once at startup if empty (idempotent - manual edits survive redeploy)</t>
        </is>
      </c>
      <c r="F22" s="5" t="inlineStr">
        <is>
          <t>corridor_regulations, state OSOW tables</t>
        </is>
      </c>
      <c r="G22" s="5" t="inlineStr">
        <is>
          <t>Permit and routing guidance in the freight views</t>
        </is>
      </c>
      <c r="H22" s="5" t="inlineStr">
        <is>
          <t>/api/state-osow-regulations/*, /api/corridor-regulations</t>
        </is>
      </c>
      <c r="I22" s="5" t="inlineStr">
        <is>
          <t>backend_proxy_server.js, scripts/seed_corridor_regulations_if_empty.js</t>
        </is>
      </c>
    </row>
    <row r="23">
      <c r="A23" s="26" t="inlineStr">
        <is>
          <t>Demand</t>
        </is>
      </c>
      <c r="B23" s="8" t="inlineStr">
        <is>
          <t>Major events (concerts, games)</t>
        </is>
      </c>
      <c r="C23" s="8" t="inlineStr">
        <is>
          <t>Ticketmaster Discovery v2; PredictHQ as the alternate</t>
        </is>
      </c>
      <c r="D23" s="8" t="inlineStr">
        <is>
          <t>Event name, venue, coordinates, start time, expected attendance</t>
        </is>
      </c>
      <c r="E23" s="8" t="inlineStr">
        <is>
          <t>Cached 6 h; gated on the API key being set (Ticketmaster key not set yet)</t>
        </is>
      </c>
      <c r="F23" s="8" t="inlineStr">
        <is>
          <t>majorEventsCache</t>
        </is>
      </c>
      <c r="G23" s="8" t="inlineStr">
        <is>
          <t>Demand-surge alerts near the corridor - warns when an event will load the same segment as a work zone</t>
        </is>
      </c>
      <c r="H23" s="8" t="inlineStr">
        <is>
          <t>/api/major-events</t>
        </is>
      </c>
      <c r="I23" s="8" t="inlineStr">
        <is>
          <t>services/ticketmaster-service.js, predicthq-service.js</t>
        </is>
      </c>
    </row>
    <row r="24">
      <c r="A24" s="19" t="inlineStr">
        <is>
          <t>ITS assets</t>
        </is>
      </c>
      <c r="B24" s="5" t="inlineStr">
        <is>
          <t>ITS equipment + RSU inventory</t>
        </is>
      </c>
      <c r="C24" s="5" t="inlineStr">
        <is>
          <t>NTAD RSU Deployment Locations; internally maintained equipment records</t>
        </is>
      </c>
      <c r="D24" s="5" t="inlineStr">
        <is>
          <t>Device type, location, status, health telemetry</t>
        </is>
      </c>
      <c r="E24" s="5" t="inlineStr">
        <is>
          <t>On demand</t>
        </is>
      </c>
      <c r="F24" s="5" t="inlineStr">
        <is>
          <t>its_equipment (3,149 rows), rsu_inventory, rsu_health, sensor_inventory (925), sensor_health, sensor_health_telemetry, device_health_snapshots</t>
        </is>
      </c>
      <c r="G24" s="5" t="inlineStr">
        <is>
          <t>V2X / connected-vehicle layer, asset-health monitoring, predictive maintenance, network topology</t>
        </is>
      </c>
      <c r="H24" s="5" t="inlineStr">
        <is>
          <t>/api/its-equipment/* (18), /api/v2x/*, /api/asset-health/*, /api/network/*</t>
        </is>
      </c>
      <c r="I24" s="5" t="inlineStr">
        <is>
          <t>services/asset-health-monitor.js, predictive-maintenance-ai.js, device-health-store.js</t>
        </is>
      </c>
    </row>
    <row r="25">
      <c r="A25" s="9" t="inlineStr">
        <is>
          <t>Digital infra</t>
        </is>
      </c>
      <c r="B25" s="8" t="inlineStr">
        <is>
          <t>BIM / IFC models and CADD drawings</t>
        </is>
      </c>
      <c r="C25" s="8" t="inlineStr">
        <is>
          <t>User-uploaded IFC, DXF and CADD files (+ buildingSMART schema references)</t>
        </is>
      </c>
      <c r="D25" s="8" t="inlineStr">
        <is>
          <t>IFC entities, DXF layers and entities, extracted geometry</t>
        </is>
      </c>
      <c r="E25" s="8" t="inlineStr">
        <is>
          <t>On upload</t>
        </is>
      </c>
      <c r="F25" s="8" t="inlineStr">
        <is>
          <t>ifc_models, cadd_models, cadd_layers, cadd_entities, infrastructure_elements, infrastructure_standards, infrastructure_gaps</t>
        </is>
      </c>
      <c r="G25" s="8" t="inlineStr">
        <is>
          <t>Digital-infrastructure inventory, standards crosswalk, gap analysis, GIS export of CADD content</t>
        </is>
      </c>
      <c r="H25" s="8" t="inlineStr">
        <is>
          <t>/api/digital-infrastructure/* (12), /api/bim/*, /api/cadd/* (9)</t>
        </is>
      </c>
      <c r="I25" s="8" t="inlineStr">
        <is>
          <t>services/cadd-processor.js, cadd-gis-exporter.js, dxf-extractor.js</t>
        </is>
      </c>
    </row>
    <row r="26">
      <c r="A26" s="6" t="inlineStr">
        <is>
          <t>Imagery</t>
        </is>
      </c>
      <c r="B26" s="5" t="inlineStr">
        <is>
          <t>Aerial overlays</t>
        </is>
      </c>
      <c r="C26" s="5" t="inlineStr">
        <is>
          <t>User-uploaded GeoTIFF / imagery</t>
        </is>
      </c>
      <c r="D26" s="5" t="inlineStr">
        <is>
          <t>Georeferenced raster tiles and bounds</t>
        </is>
      </c>
      <c r="E26" s="5" t="inlineStr">
        <is>
          <t>On upload</t>
        </is>
      </c>
      <c r="F26" s="5" t="inlineStr">
        <is>
          <t>S3-compatible object store (S3_ENDPOINT) + aerial_overlays metadata</t>
        </is>
      </c>
      <c r="G26" s="5" t="inlineStr">
        <is>
          <t>Aerial imagery overlay on the corridor map for planning and review</t>
        </is>
      </c>
      <c r="H26" s="5" t="inlineStr">
        <is>
          <t>/api/aerial-overlays/*</t>
        </is>
      </c>
      <c r="I26" s="5" t="inlineStr">
        <is>
          <t>services/aerial-overlays.js</t>
        </is>
      </c>
    </row>
    <row r="27">
      <c r="A27" s="22" t="inlineStr">
        <is>
          <t>Grants</t>
        </is>
      </c>
      <c r="B27" s="8" t="inlineStr">
        <is>
          <t>Federal funding opportunities</t>
        </is>
      </c>
      <c r="C27" s="8" t="inlineStr">
        <is>
          <t>Grants.gov search2 + fetchOpportunity</t>
        </is>
      </c>
      <c r="D27" s="8" t="inlineStr">
        <is>
          <t>Opportunity number, title, agency, dates, eligibility, award ceiling - filtered by an ITS/digital-infrastructure keyword set (WZDx, connected corridors, CV/CAV, ITS deployment), NOT general transportation</t>
        </is>
      </c>
      <c r="E27" s="8" t="inlineStr">
        <is>
          <t>On demand</t>
        </is>
      </c>
      <c r="F27" s="8" t="inlineStr">
        <is>
          <t>Grants tables</t>
        </is>
      </c>
      <c r="G27" s="8" t="inlineStr">
        <is>
          <t>Grant discovery, the proposal analyzer, and the grant package builder</t>
        </is>
      </c>
      <c r="H27" s="8" t="inlineStr">
        <is>
          <t>/api/grants/* (23), /api/funding-opportunities/*</t>
        </is>
      </c>
      <c r="I27" s="8" t="inlineStr">
        <is>
          <t>services/grants-service.js, compliance-analyzer.js</t>
        </is>
      </c>
    </row>
    <row r="28">
      <c r="A28" s="23" t="inlineStr">
        <is>
          <t>Quality</t>
        </is>
      </c>
      <c r="B28" s="5" t="inlineStr">
        <is>
          <t>Feed fetch history and outcomes</t>
        </is>
      </c>
      <c r="C28" s="5" t="inlineStr">
        <is>
          <t>Recorded internally on every upstream fetch</t>
        </is>
      </c>
      <c r="D28" s="5" t="inlineStr">
        <is>
          <t>Success/failure, latency, record counts, per-feed timestamps</t>
        </is>
      </c>
      <c r="E28" s="5" t="inlineStr">
        <is>
          <t>Written on each fetch</t>
        </is>
      </c>
      <c r="F28" s="5" t="inlineStr">
        <is>
          <t>quality_history, api_usage_logs, api_access_log, rate_limit_log</t>
        </is>
      </c>
      <c r="G28" s="5" t="inlineStr">
        <is>
          <t>The Availability dimension of the DQI, feed outage detection, the state report cards</t>
        </is>
      </c>
      <c r="H28" s="5" t="inlineStr">
        <is>
          <t>/api/data-quality/* (23), /api/reports/*, /api/quality/*</t>
        </is>
      </c>
      <c r="I28" s="5" t="inlineStr">
        <is>
          <t>services/feed-tracking-service.js, feed-quality-scorer.js</t>
        </is>
      </c>
    </row>
    <row r="29">
      <c r="A29" s="24" t="inlineStr">
        <is>
          <t>Quality</t>
        </is>
      </c>
      <c r="B29" s="8" t="inlineStr">
        <is>
          <t>Validation evidence ledger</t>
        </is>
      </c>
      <c r="C29" s="8" t="inlineStr">
        <is>
          <t>Produced by the four validators</t>
        </is>
      </c>
      <c r="D29" s="8" t="inlineStr">
        <is>
          <t>Per-zone verification sources, timestamps, confidence, sticky accumulation state</t>
        </is>
      </c>
      <c r="E29" s="8" t="inlineStr">
        <is>
          <t>On each validation pass</t>
        </is>
      </c>
      <c r="F29" s="8" t="inlineStr">
        <is>
          <t>validation ledger tables + camera_check_ledger</t>
        </is>
      </c>
      <c r="G29" s="8" t="inlineStr">
        <is>
          <t>Keeps verification from flickering between refreshes; supplies x_verification / x_confidence_tier</t>
        </is>
      </c>
      <c r="H29" s="8" t="inlineStr">
        <is>
          <t>CWZ 1.0 feeds, /api/wz/*, /api/confidence/*</t>
        </is>
      </c>
      <c r="I29" s="8" t="inlineStr">
        <is>
          <t>services/validation-ledger.js, camera-check-ledger.js</t>
        </is>
      </c>
    </row>
    <row r="30">
      <c r="A30" s="13" t="inlineStr">
        <is>
          <t>Collaboration</t>
        </is>
      </c>
      <c r="B30" s="5" t="inlineStr">
        <is>
          <t>Coalition calendar, messages, community posts</t>
        </is>
      </c>
      <c r="C30" s="5" t="inlineStr">
        <is>
          <t>User-generated in the platform</t>
        </is>
      </c>
      <c r="D30" s="5" t="inlineStr">
        <is>
          <t>Events, RSVPs, action items, artifacts, threads, reactions, biweekly reports</t>
        </is>
      </c>
      <c r="E30" s="5" t="inlineStr">
        <is>
          <t>Live</t>
        </is>
      </c>
      <c r="F30" s="5" t="inlineStr">
        <is>
          <t>calendar_events, calendar_rsvps, calendar_action_items, calendar_artifacts, message_threads, message_reactions, alert_notifications</t>
        </is>
      </c>
      <c r="G30" s="5" t="inlineStr">
        <is>
          <t>The I-80 coalition calendar, inter-state messaging, community board, biweekly reporting</t>
        </is>
      </c>
      <c r="H30" s="5" t="inlineStr">
        <is>
          <t>/api/calendar/* (16), /api/messages/*, /api/community/*, /api/biweekly-reports/*</t>
        </is>
      </c>
      <c r="I30" s="5" t="inlineStr">
        <is>
          <t>calendar-api.js, backend_proxy_server.js</t>
        </is>
      </c>
    </row>
    <row r="31">
      <c r="A31" s="15" t="inlineStr">
        <is>
          <t>Collaboration</t>
        </is>
      </c>
      <c r="B31" s="8" t="inlineStr">
        <is>
          <t>Vendor uploads</t>
        </is>
      </c>
      <c r="C31" s="8" t="inlineStr">
        <is>
          <t>Truck-parking and other vendor submissions</t>
        </is>
      </c>
      <c r="D31" s="8" t="inlineStr">
        <is>
          <t>Uploaded facility and availability data with provenance</t>
        </is>
      </c>
      <c r="E31" s="8" t="inlineStr">
        <is>
          <t>On upload</t>
        </is>
      </c>
      <c r="F31" s="8" t="inlineStr">
        <is>
          <t>Vendor tables + parking tables</t>
        </is>
      </c>
      <c r="G31" s="8" t="inlineStr">
        <is>
          <t>Lets vendors contribute parking data where no state feed exists</t>
        </is>
      </c>
      <c r="H31" s="8" t="inlineStr">
        <is>
          <t>/api/vendors/* (12)</t>
        </is>
      </c>
      <c r="I31" s="8" t="inlineStr">
        <is>
          <t>vendor-upload-service.js</t>
        </is>
      </c>
    </row>
    <row r="32">
      <c r="A32" s="25" t="inlineStr">
        <is>
          <t>Notifications</t>
        </is>
      </c>
      <c r="B32" s="5" t="inlineStr">
        <is>
          <t>Outbound alert delivery</t>
        </is>
      </c>
      <c r="C32" s="5" t="inlineStr">
        <is>
          <t>SendGrid, Twilio, Slack, Microsoft Teams, ServiceNow</t>
        </is>
      </c>
      <c r="D32" s="5" t="inlineStr">
        <is>
          <t>Rendered alert payloads (email, SMS, webhook cards, incident tickets)</t>
        </is>
      </c>
      <c r="E32" s="5" t="inlineStr">
        <is>
          <t>High-severity event check every 5 min; daily digest</t>
        </is>
      </c>
      <c r="F32" s="5" t="inlineStr">
        <is>
          <t>alert_history, alert_rules, alerts</t>
        </is>
      </c>
      <c r="G32" s="5" t="inlineStr">
        <is>
          <t>Routing high-severity events and asset-health exceptions to the right people and systems</t>
        </is>
      </c>
      <c r="H32" s="5" t="inlineStr">
        <is>
          <t>-</t>
        </is>
      </c>
      <c r="I32" s="5" t="inlineStr">
        <is>
          <t>services/notification-service.js, email-service.js, daily-digest.js</t>
        </is>
      </c>
    </row>
    <row r="33">
      <c r="A33" s="20" t="inlineStr">
        <is>
          <t>AI</t>
        </is>
      </c>
      <c r="B33" s="8" t="inlineStr">
        <is>
          <t>LLM analysis and assistant</t>
        </is>
      </c>
      <c r="C33" s="8" t="inlineStr">
        <is>
          <t>Anthropic Messages API / OpenAI Chat Completions</t>
        </is>
      </c>
      <c r="D33" s="8" t="inlineStr">
        <is>
          <t>Prompts built from corridor data; structured JSON responses</t>
        </is>
      </c>
      <c r="E33" s="8" t="inlineStr">
        <is>
          <t>On demand only - never on a shared or startup path</t>
        </is>
      </c>
      <c r="F33" s="8" t="inlineStr">
        <is>
          <t>chat_conversations</t>
        </is>
      </c>
      <c r="G33" s="8" t="inlineStr">
        <is>
          <t>The corridor briefing, NASCO corridor AI analysis, grant proposal analysis, the in-app assistant, and the custom-GPT action surface</t>
        </is>
      </c>
      <c r="H33" s="8" t="inlineStr">
        <is>
          <t>/api/chat/*, /api/chatgpt/* (14), /api/corridor-briefing, /api/nasco-corridor-ai-analysis</t>
        </is>
      </c>
      <c r="I33" s="8" t="inlineStr">
        <is>
          <t>backend_proxy_server.js, ml-integrations.js</t>
        </is>
      </c>
    </row>
    <row r="34">
      <c r="A34" s="11" t="inlineStr">
        <is>
          <t>ML</t>
        </is>
      </c>
      <c r="B34" s="5" t="inlineStr">
        <is>
          <t>Prediction models</t>
        </is>
      </c>
      <c r="C34" s="5" t="inlineStr">
        <is>
          <t>Internal ML service (ML_SERVICE_URL, ml-service/)</t>
        </is>
      </c>
      <c r="D34" s="5" t="inlineStr">
        <is>
          <t>Feature vectors from parking, event and traffic history</t>
        </is>
      </c>
      <c r="E34" s="5" t="inlineStr">
        <is>
          <t>On demand</t>
        </is>
      </c>
      <c r="F34" s="5" t="inlineStr">
        <is>
          <t>Model outputs cached alongside the source tables</t>
        </is>
      </c>
      <c r="G34" s="5" t="inlineStr">
        <is>
          <t>Parking availability prediction, predictive maintenance, traffic-impact analysis</t>
        </is>
      </c>
      <c r="H34" s="5" t="inlineStr">
        <is>
          <t>/api/ml/* (10), /api/predictive/*, /api/predictive-maintenance/*</t>
        </is>
      </c>
      <c r="I34" s="5" t="inlineStr">
        <is>
          <t>ml-integrations.js, parking_prediction.js, traffic_impact_analyzer.js</t>
        </is>
      </c>
    </row>
    <row r="35">
      <c r="A35" s="12" t="inlineStr">
        <is>
          <t>Reference</t>
        </is>
      </c>
      <c r="B35" s="8" t="inlineStr">
        <is>
          <t>Interstate polylines (I-80, I-35)</t>
        </is>
      </c>
      <c r="C35" s="8" t="inlineStr">
        <is>
          <t>Loaded from PostGIS at startup</t>
        </is>
      </c>
      <c r="D35" s="8" t="inlineStr">
        <is>
          <t>Directional centerlines per corridor (i-80-eb/wb, i-35-nb/sb)</t>
        </is>
      </c>
      <c r="E35" s="8" t="inlineStr">
        <is>
          <t>Once at startup</t>
        </is>
      </c>
      <c r="F35" s="8" t="inlineStr">
        <is>
          <t>interstatePolylinesCache, interstate_geometries</t>
        </is>
      </c>
      <c r="G35" s="8" t="inlineStr">
        <is>
          <t>Corridor clipping for crash data, geometry snapping, corridor analytics and the map base</t>
        </is>
      </c>
      <c r="H35" s="8" t="inlineStr">
        <is>
          <t>-</t>
        </is>
      </c>
      <c r="I35" s="8" t="inlineStr">
        <is>
          <t>backend_proxy_server.js getCorridorLine</t>
        </is>
      </c>
    </row>
    <row r="36">
      <c r="A36" s="6" t="inlineStr">
        <is>
          <t>Reference</t>
        </is>
      </c>
      <c r="B36" s="5" t="inlineStr">
        <is>
          <t>Interchanges and route restrictions</t>
        </is>
      </c>
      <c r="C36" s="5" t="inlineStr">
        <is>
          <t>Curated / admin-maintained</t>
        </is>
      </c>
      <c r="D36" s="5" t="inlineStr">
        <is>
          <t>Interchange locations, route restrictions</t>
        </is>
      </c>
      <c r="E36" s="5" t="inlineStr">
        <is>
          <t>Admin edits</t>
        </is>
      </c>
      <c r="F36" s="5" t="inlineStr">
        <is>
          <t>interchanges, route_restrictions</t>
        </is>
      </c>
      <c r="G36" s="5" t="inlineStr">
        <is>
          <t>Detour feasibility, diversion routing, traveler information</t>
        </is>
      </c>
      <c r="H36" s="5" t="inlineStr">
        <is>
          <t>/api/interchanges, /api/admin/interchanges</t>
        </is>
      </c>
      <c r="I36" s="5" t="inlineStr">
        <is>
          <t>backend_proxy_server.js</t>
        </is>
      </c>
    </row>
    <row r="37">
      <c r="A37" s="22" t="inlineStr">
        <is>
          <t>Platform</t>
        </is>
      </c>
      <c r="B37" s="8" t="inlineStr">
        <is>
          <t>Users, API keys, admin tokens</t>
        </is>
      </c>
      <c r="C37" s="8" t="inlineStr">
        <is>
          <t>Internal</t>
        </is>
      </c>
      <c r="D37" s="8" t="inlineStr">
        <is>
          <t>Accounts, roles, hashed credentials, issued keys and their usage</t>
        </is>
      </c>
      <c r="E37" s="8" t="inlineStr">
        <is>
          <t>Live</t>
        </is>
      </c>
      <c r="F37" s="8" t="inlineStr">
        <is>
          <t>users, api_keys, admin_tokens, api_access_log</t>
        </is>
      </c>
      <c r="G37" s="8" t="inlineStr">
        <is>
          <t>Authentication, state-level access control, API key issuance and rate limiting</t>
        </is>
      </c>
      <c r="H37" s="8" t="inlineStr">
        <is>
          <t>/api/users/* (12), /api/admin/* (32)</t>
        </is>
      </c>
      <c r="I37" s="8" t="inlineStr">
        <is>
          <t>backend_proxy_server.js</t>
        </is>
      </c>
    </row>
  </sheetData>
  <autoFilter ref="A1:I3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12"/>
  <sheetViews>
    <sheetView workbookViewId="0">
      <pane ySplit="1" topLeftCell="A2" activePane="bottomLeft" state="frozen"/>
      <selection pane="bottomLeft" activeCell="A1" sqref="A1"/>
    </sheetView>
  </sheetViews>
  <sheetFormatPr baseColWidth="8" defaultRowHeight="15"/>
  <cols>
    <col width="5" customWidth="1" min="1" max="1"/>
    <col width="9" customWidth="1" min="2" max="2"/>
    <col width="46" customWidth="1" min="3" max="3"/>
    <col width="20" customWidth="1" min="4" max="4"/>
    <col width="22" customWidth="1" min="5" max="5"/>
    <col width="18" customWidth="1" min="6" max="6"/>
    <col width="58" customWidth="1" min="7" max="7"/>
    <col width="24" customWidth="1" min="8" max="8"/>
    <col width="7" customWidth="1" min="9" max="9"/>
  </cols>
  <sheetData>
    <row r="1" ht="28" customHeight="1">
      <c r="A1" s="4" t="inlineStr">
        <is>
          <t>#</t>
        </is>
      </c>
      <c r="B1" s="4" t="inlineStr">
        <is>
          <t>Method</t>
        </is>
      </c>
      <c r="C1" s="4" t="inlineStr">
        <is>
          <t>Path</t>
        </is>
      </c>
      <c r="D1" s="4" t="inlineStr">
        <is>
          <t>Group</t>
        </is>
      </c>
      <c r="E1" s="4" t="inlineStr">
        <is>
          <t>Category</t>
        </is>
      </c>
      <c r="F1" s="4" t="inlineStr">
        <is>
          <t>Access</t>
        </is>
      </c>
      <c r="G1" s="4" t="inlineStr">
        <is>
          <t>Description (from code comment)</t>
        </is>
      </c>
      <c r="H1" s="4" t="inlineStr">
        <is>
          <t>Source file</t>
        </is>
      </c>
      <c r="I1" s="4" t="inlineStr">
        <is>
          <t>Line</t>
        </is>
      </c>
    </row>
    <row r="2">
      <c r="A2" s="5" t="n">
        <v>1</v>
      </c>
      <c r="B2" s="6" t="inlineStr">
        <is>
          <t>GET</t>
        </is>
      </c>
      <c r="C2" s="7" t="inlineStr">
        <is>
          <t>*</t>
        </is>
      </c>
      <c r="D2" s="5" t="inlineStr">
        <is>
          <t>*</t>
        </is>
      </c>
      <c r="E2" s="5" t="inlineStr">
        <is>
          <t>Platform</t>
        </is>
      </c>
      <c r="F2" s="5" t="inlineStr">
        <is>
          <t>Public (GET)</t>
        </is>
      </c>
      <c r="G2" s="5" t="inlineStr"/>
      <c r="H2" s="5" t="inlineStr">
        <is>
          <t>backend_proxy_server.js</t>
        </is>
      </c>
      <c r="I2" s="5" t="n">
        <v>39525</v>
      </c>
    </row>
    <row r="3">
      <c r="A3" s="8" t="n">
        <v>2</v>
      </c>
      <c r="B3" s="9" t="inlineStr">
        <is>
          <t>POST</t>
        </is>
      </c>
      <c r="C3" s="10" t="inlineStr">
        <is>
          <t>/api/admin/apply-coordinate-offsets</t>
        </is>
      </c>
      <c r="D3" s="8" t="inlineStr">
        <is>
          <t>admin</t>
        </is>
      </c>
      <c r="E3" s="8" t="inlineStr">
        <is>
          <t>Platform</t>
        </is>
      </c>
      <c r="F3" s="8" t="inlineStr">
        <is>
          <t>requireAdmin</t>
        </is>
      </c>
      <c r="G3" s="8" t="inlineStr">
        <is>
          <t>Admin endpoint to apply coordinate offsets</t>
        </is>
      </c>
      <c r="H3" s="8" t="inlineStr">
        <is>
          <t>backend_proxy_server.js</t>
        </is>
      </c>
      <c r="I3" s="8" t="n">
        <v>7987</v>
      </c>
    </row>
    <row r="4">
      <c r="A4" s="5" t="n">
        <v>3</v>
      </c>
      <c r="B4" s="11" t="inlineStr">
        <is>
          <t>POST</t>
        </is>
      </c>
      <c r="C4" s="7" t="inlineStr">
        <is>
          <t>/api/admin/detour-alerts/:id/resolve</t>
        </is>
      </c>
      <c r="D4" s="5" t="inlineStr">
        <is>
          <t>admin</t>
        </is>
      </c>
      <c r="E4" s="5" t="inlineStr">
        <is>
          <t>Platform</t>
        </is>
      </c>
      <c r="F4" s="5" t="inlineStr">
        <is>
          <t>requireAdmin</t>
        </is>
      </c>
      <c r="G4" s="5" t="inlineStr"/>
      <c r="H4" s="5" t="inlineStr">
        <is>
          <t>backend_proxy_server.js</t>
        </is>
      </c>
      <c r="I4" s="5" t="n">
        <v>18743</v>
      </c>
    </row>
    <row r="5">
      <c r="A5" s="8" t="n">
        <v>4</v>
      </c>
      <c r="B5" s="12" t="inlineStr">
        <is>
          <t>GET</t>
        </is>
      </c>
      <c r="C5" s="10" t="inlineStr">
        <is>
          <t>/api/admin/feeds/submissions</t>
        </is>
      </c>
      <c r="D5" s="8" t="inlineStr">
        <is>
          <t>admin</t>
        </is>
      </c>
      <c r="E5" s="8" t="inlineStr">
        <is>
          <t>Platform</t>
        </is>
      </c>
      <c r="F5" s="8" t="inlineStr">
        <is>
          <t>requireAdmin</t>
        </is>
      </c>
      <c r="G5" s="8" t="inlineStr"/>
      <c r="H5" s="8" t="inlineStr">
        <is>
          <t>backend_proxy_server.js</t>
        </is>
      </c>
      <c r="I5" s="8" t="n">
        <v>20073</v>
      </c>
    </row>
    <row r="6">
      <c r="A6" s="5" t="n">
        <v>5</v>
      </c>
      <c r="B6" s="11" t="inlineStr">
        <is>
          <t>POST</t>
        </is>
      </c>
      <c r="C6" s="7" t="inlineStr">
        <is>
          <t>/api/admin/feeds/submissions/:id/resolve</t>
        </is>
      </c>
      <c r="D6" s="5" t="inlineStr">
        <is>
          <t>admin</t>
        </is>
      </c>
      <c r="E6" s="5" t="inlineStr">
        <is>
          <t>Platform</t>
        </is>
      </c>
      <c r="F6" s="5" t="inlineStr">
        <is>
          <t>requireAdmin</t>
        </is>
      </c>
      <c r="G6" s="5" t="inlineStr"/>
      <c r="H6" s="5" t="inlineStr">
        <is>
          <t>backend_proxy_server.js</t>
        </is>
      </c>
      <c r="I6" s="5" t="n">
        <v>20079</v>
      </c>
    </row>
    <row r="7">
      <c r="A7" s="8" t="n">
        <v>6</v>
      </c>
      <c r="B7" s="9" t="inlineStr">
        <is>
          <t>POST</t>
        </is>
      </c>
      <c r="C7" s="10" t="inlineStr">
        <is>
          <t>/api/admin/fix-tetc-urls</t>
        </is>
      </c>
      <c r="D7" s="8" t="inlineStr">
        <is>
          <t>admin</t>
        </is>
      </c>
      <c r="E7" s="8" t="inlineStr">
        <is>
          <t>Platform</t>
        </is>
      </c>
      <c r="F7" s="8" t="inlineStr">
        <is>
          <t>requireAdmin</t>
        </is>
      </c>
      <c r="G7" s="8" t="inlineStr">
        <is>
          <t>Fix TETC validation report URLs (admin only)</t>
        </is>
      </c>
      <c r="H7" s="8" t="inlineStr">
        <is>
          <t>backend_proxy_server.js</t>
        </is>
      </c>
      <c r="I7" s="8" t="n">
        <v>25200</v>
      </c>
    </row>
    <row r="8">
      <c r="A8" s="5" t="n">
        <v>7</v>
      </c>
      <c r="B8" s="11" t="inlineStr">
        <is>
          <t>POST</t>
        </is>
      </c>
      <c r="C8" s="7" t="inlineStr">
        <is>
          <t>/api/admin/generate-token</t>
        </is>
      </c>
      <c r="D8" s="5" t="inlineStr">
        <is>
          <t>admin</t>
        </is>
      </c>
      <c r="E8" s="5" t="inlineStr">
        <is>
          <t>Platform</t>
        </is>
      </c>
      <c r="F8" s="5" t="inlineStr">
        <is>
          <t>requireAdmin</t>
        </is>
      </c>
      <c r="G8" s="5" t="inlineStr">
        <is>
          <t>Generate admin token (one-time setup or regenerate)</t>
        </is>
      </c>
      <c r="H8" s="5" t="inlineStr">
        <is>
          <t>backend_proxy_server.js</t>
        </is>
      </c>
      <c r="I8" s="5" t="n">
        <v>18567</v>
      </c>
    </row>
    <row r="9">
      <c r="A9" s="8" t="n">
        <v>8</v>
      </c>
      <c r="B9" s="9" t="inlineStr">
        <is>
          <t>POST</t>
        </is>
      </c>
      <c r="C9" s="10" t="inlineStr">
        <is>
          <t>/api/admin/import-facilities</t>
        </is>
      </c>
      <c r="D9" s="8" t="inlineStr">
        <is>
          <t>admin</t>
        </is>
      </c>
      <c r="E9" s="8" t="inlineStr">
        <is>
          <t>Platform</t>
        </is>
      </c>
      <c r="F9" s="8" t="inlineStr">
        <is>
          <t>requireAdmin</t>
        </is>
      </c>
      <c r="G9" s="8" t="inlineStr">
        <is>
          <t>Admin endpoint to import facilities from JSON file</t>
        </is>
      </c>
      <c r="H9" s="8" t="inlineStr">
        <is>
          <t>backend_proxy_server.js</t>
        </is>
      </c>
      <c r="I9" s="8" t="n">
        <v>7927</v>
      </c>
    </row>
    <row r="10">
      <c r="A10" s="5" t="n">
        <v>9</v>
      </c>
      <c r="B10" s="6" t="inlineStr">
        <is>
          <t>GET</t>
        </is>
      </c>
      <c r="C10" s="7" t="inlineStr">
        <is>
          <t>/api/admin/interchanges</t>
        </is>
      </c>
      <c r="D10" s="5" t="inlineStr">
        <is>
          <t>admin</t>
        </is>
      </c>
      <c r="E10" s="5" t="inlineStr">
        <is>
          <t>Platform</t>
        </is>
      </c>
      <c r="F10" s="5" t="inlineStr">
        <is>
          <t>requireAdmin</t>
        </is>
      </c>
      <c r="G10" s="5" t="inlineStr"/>
      <c r="H10" s="5" t="inlineStr">
        <is>
          <t>backend_proxy_server.js</t>
        </is>
      </c>
      <c r="I10" s="5" t="n">
        <v>18675</v>
      </c>
    </row>
    <row r="11">
      <c r="A11" s="8" t="n">
        <v>10</v>
      </c>
      <c r="B11" s="9" t="inlineStr">
        <is>
          <t>POST</t>
        </is>
      </c>
      <c r="C11" s="10" t="inlineStr">
        <is>
          <t>/api/admin/interchanges</t>
        </is>
      </c>
      <c r="D11" s="8" t="inlineStr">
        <is>
          <t>admin</t>
        </is>
      </c>
      <c r="E11" s="8" t="inlineStr">
        <is>
          <t>Platform</t>
        </is>
      </c>
      <c r="F11" s="8" t="inlineStr">
        <is>
          <t>requireAdmin</t>
        </is>
      </c>
      <c r="G11" s="8" t="inlineStr"/>
      <c r="H11" s="8" t="inlineStr">
        <is>
          <t>backend_proxy_server.js</t>
        </is>
      </c>
      <c r="I11" s="8" t="n">
        <v>18680</v>
      </c>
    </row>
    <row r="12">
      <c r="A12" s="5" t="n">
        <v>11</v>
      </c>
      <c r="B12" s="13" t="inlineStr">
        <is>
          <t>DELETE</t>
        </is>
      </c>
      <c r="C12" s="7" t="inlineStr">
        <is>
          <t>/api/admin/interchanges/:id</t>
        </is>
      </c>
      <c r="D12" s="5" t="inlineStr">
        <is>
          <t>admin</t>
        </is>
      </c>
      <c r="E12" s="5" t="inlineStr">
        <is>
          <t>Platform</t>
        </is>
      </c>
      <c r="F12" s="5" t="inlineStr">
        <is>
          <t>requireAdmin</t>
        </is>
      </c>
      <c r="G12" s="5" t="inlineStr"/>
      <c r="H12" s="5" t="inlineStr">
        <is>
          <t>backend_proxy_server.js</t>
        </is>
      </c>
      <c r="I12" s="5" t="n">
        <v>18729</v>
      </c>
    </row>
    <row r="13">
      <c r="A13" s="8" t="n">
        <v>12</v>
      </c>
      <c r="B13" s="14" t="inlineStr">
        <is>
          <t>PUT</t>
        </is>
      </c>
      <c r="C13" s="10" t="inlineStr">
        <is>
          <t>/api/admin/interchanges/:id</t>
        </is>
      </c>
      <c r="D13" s="8" t="inlineStr">
        <is>
          <t>admin</t>
        </is>
      </c>
      <c r="E13" s="8" t="inlineStr">
        <is>
          <t>Platform</t>
        </is>
      </c>
      <c r="F13" s="8" t="inlineStr">
        <is>
          <t>requireAdmin</t>
        </is>
      </c>
      <c r="G13" s="8" t="inlineStr"/>
      <c r="H13" s="8" t="inlineStr">
        <is>
          <t>backend_proxy_server.js</t>
        </is>
      </c>
      <c r="I13" s="8" t="n">
        <v>18706</v>
      </c>
    </row>
    <row r="14">
      <c r="A14" s="5" t="n">
        <v>13</v>
      </c>
      <c r="B14" s="11" t="inlineStr">
        <is>
          <t>POST</t>
        </is>
      </c>
      <c r="C14" s="7" t="inlineStr">
        <is>
          <t>/api/admin/messages</t>
        </is>
      </c>
      <c r="D14" s="5" t="inlineStr">
        <is>
          <t>admin</t>
        </is>
      </c>
      <c r="E14" s="5" t="inlineStr">
        <is>
          <t>Platform</t>
        </is>
      </c>
      <c r="F14" s="5" t="inlineStr">
        <is>
          <t>requireAdmin</t>
        </is>
      </c>
      <c r="G14" s="5" t="inlineStr">
        <is>
          <t>Admin send message to state (no state login required)</t>
        </is>
      </c>
      <c r="H14" s="5" t="inlineStr">
        <is>
          <t>backend_proxy_server.js</t>
        </is>
      </c>
      <c r="I14" s="5" t="n">
        <v>20006</v>
      </c>
    </row>
    <row r="15">
      <c r="A15" s="8" t="n">
        <v>14</v>
      </c>
      <c r="B15" s="9" t="inlineStr">
        <is>
          <t>POST</t>
        </is>
      </c>
      <c r="C15" s="10" t="inlineStr">
        <is>
          <t>/api/admin/migrate-digital-infrastructure</t>
        </is>
      </c>
      <c r="D15" s="8" t="inlineStr">
        <is>
          <t>admin</t>
        </is>
      </c>
      <c r="E15" s="8" t="inlineStr">
        <is>
          <t>Platform</t>
        </is>
      </c>
      <c r="F15" s="8" t="inlineStr">
        <is>
          <t>requireAdmin</t>
        </is>
      </c>
      <c r="G15" s="8" t="inlineStr">
        <is>
          <t>One-time migration endpoint to create Digital Infrastructure tables in production</t>
        </is>
      </c>
      <c r="H15" s="8" t="inlineStr">
        <is>
          <t>backend_proxy_server.js</t>
        </is>
      </c>
      <c r="I15" s="8" t="n">
        <v>35698</v>
      </c>
    </row>
    <row r="16">
      <c r="A16" s="5" t="n">
        <v>15</v>
      </c>
      <c r="B16" s="11" t="inlineStr">
        <is>
          <t>POST</t>
        </is>
      </c>
      <c r="C16" s="7" t="inlineStr">
        <is>
          <t>/api/admin/migrate-grants</t>
        </is>
      </c>
      <c r="D16" s="5" t="inlineStr">
        <is>
          <t>admin</t>
        </is>
      </c>
      <c r="E16" s="5" t="inlineStr">
        <is>
          <t>Platform</t>
        </is>
      </c>
      <c r="F16" s="5" t="inlineStr">
        <is>
          <t>requireAdmin</t>
        </is>
      </c>
      <c r="G16" s="5" t="inlineStr">
        <is>
          <t>Migrate grant tables to PostgreSQL</t>
        </is>
      </c>
      <c r="H16" s="5" t="inlineStr">
        <is>
          <t>backend_proxy_server.js</t>
        </is>
      </c>
      <c r="I16" s="5" t="n">
        <v>35261</v>
      </c>
    </row>
    <row r="17">
      <c r="A17" s="8" t="n">
        <v>16</v>
      </c>
      <c r="B17" s="9" t="inlineStr">
        <is>
          <t>POST</t>
        </is>
      </c>
      <c r="C17" s="10" t="inlineStr">
        <is>
          <t>/api/admin/migrate-its</t>
        </is>
      </c>
      <c r="D17" s="8" t="inlineStr">
        <is>
          <t>admin</t>
        </is>
      </c>
      <c r="E17" s="8" t="inlineStr">
        <is>
          <t>Platform</t>
        </is>
      </c>
      <c r="F17" s="8" t="inlineStr">
        <is>
          <t>requireAdmin</t>
        </is>
      </c>
      <c r="G17" s="8" t="inlineStr">
        <is>
          <t>Migrate ITS Equipment tables to PostgreSQL One-time migration endpoint to create ITS equipment tables in production</t>
        </is>
      </c>
      <c r="H17" s="8" t="inlineStr">
        <is>
          <t>backend_proxy_server.js</t>
        </is>
      </c>
      <c r="I17" s="8" t="n">
        <v>35497</v>
      </c>
    </row>
    <row r="18">
      <c r="A18" s="5" t="n">
        <v>17</v>
      </c>
      <c r="B18" s="11" t="inlineStr">
        <is>
          <t>POST</t>
        </is>
      </c>
      <c r="C18" s="7" t="inlineStr">
        <is>
          <t>/api/admin/migrate-state-osow</t>
        </is>
      </c>
      <c r="D18" s="5" t="inlineStr">
        <is>
          <t>admin</t>
        </is>
      </c>
      <c r="E18" s="5" t="inlineStr">
        <is>
          <t>Platform</t>
        </is>
      </c>
      <c r="F18" s="5" t="inlineStr">
        <is>
          <t>requireAdmin</t>
        </is>
      </c>
      <c r="G18" s="5" t="inlineStr">
        <is>
          <t>One-time migration endpoint to create state OS/OW regulations table in production</t>
        </is>
      </c>
      <c r="H18" s="5" t="inlineStr">
        <is>
          <t>backend_proxy_server.js</t>
        </is>
      </c>
      <c r="I18" s="5" t="n">
        <v>35640</v>
      </c>
    </row>
    <row r="19">
      <c r="A19" s="8" t="n">
        <v>18</v>
      </c>
      <c r="B19" s="9" t="inlineStr">
        <is>
          <t>POST</t>
        </is>
      </c>
      <c r="C19" s="10" t="inlineStr">
        <is>
          <t>/api/admin/migrate-users</t>
        </is>
      </c>
      <c r="D19" s="8" t="inlineStr">
        <is>
          <t>admin</t>
        </is>
      </c>
      <c r="E19" s="8" t="inlineStr">
        <is>
          <t>Platform</t>
        </is>
      </c>
      <c r="F19" s="8" t="inlineStr">
        <is>
          <t>requireAdmin</t>
        </is>
      </c>
      <c r="G19" s="8" t="inlineStr">
        <is>
          <t>Run Users table migration for PostgreSQL</t>
        </is>
      </c>
      <c r="H19" s="8" t="inlineStr">
        <is>
          <t>backend_proxy_server.js</t>
        </is>
      </c>
      <c r="I19" s="8" t="n">
        <v>35187</v>
      </c>
    </row>
    <row r="20">
      <c r="A20" s="5" t="n">
        <v>19</v>
      </c>
      <c r="B20" s="11" t="inlineStr">
        <is>
          <t>POST</t>
        </is>
      </c>
      <c r="C20" s="7" t="inlineStr">
        <is>
          <t>/api/admin/parking/availability</t>
        </is>
      </c>
      <c r="D20" s="5" t="inlineStr">
        <is>
          <t>admin</t>
        </is>
      </c>
      <c r="E20" s="5" t="inlineStr">
        <is>
          <t>Platform</t>
        </is>
      </c>
      <c r="F20" s="5" t="inlineStr">
        <is>
          <t>requireAdmin</t>
        </is>
      </c>
      <c r="G20" s="5" t="inlineStr">
        <is>
          <t>Admin: Add parking availability data</t>
        </is>
      </c>
      <c r="H20" s="5" t="inlineStr">
        <is>
          <t>backend_proxy_server.js</t>
        </is>
      </c>
      <c r="I20" s="5" t="n">
        <v>36214</v>
      </c>
    </row>
    <row r="21">
      <c r="A21" s="8" t="n">
        <v>20</v>
      </c>
      <c r="B21" s="9" t="inlineStr">
        <is>
          <t>POST</t>
        </is>
      </c>
      <c r="C21" s="10" t="inlineStr">
        <is>
          <t>/api/admin/parking/facility</t>
        </is>
      </c>
      <c r="D21" s="8" t="inlineStr">
        <is>
          <t>admin</t>
        </is>
      </c>
      <c r="E21" s="8" t="inlineStr">
        <is>
          <t>Platform</t>
        </is>
      </c>
      <c r="F21" s="8" t="inlineStr">
        <is>
          <t>requireAdmin</t>
        </is>
      </c>
      <c r="G21" s="8" t="inlineStr">
        <is>
          <t>Admin: Add or update parking facility</t>
        </is>
      </c>
      <c r="H21" s="8" t="inlineStr">
        <is>
          <t>backend_proxy_server.js</t>
        </is>
      </c>
      <c r="I21" s="8" t="n">
        <v>36181</v>
      </c>
    </row>
    <row r="22">
      <c r="A22" s="5" t="n">
        <v>21</v>
      </c>
      <c r="B22" s="11" t="inlineStr">
        <is>
          <t>POST</t>
        </is>
      </c>
      <c r="C22" s="7" t="inlineStr">
        <is>
          <t>/api/admin/parking/fetch-tpims</t>
        </is>
      </c>
      <c r="D22" s="5" t="inlineStr">
        <is>
          <t>admin</t>
        </is>
      </c>
      <c r="E22" s="5" t="inlineStr">
        <is>
          <t>Platform</t>
        </is>
      </c>
      <c r="F22" s="5" t="inlineStr">
        <is>
          <t>requireAdmin</t>
        </is>
      </c>
      <c r="G22" s="5" t="inlineStr">
        <is>
          <t>Admin: Fetch real-time TPIMS data</t>
        </is>
      </c>
      <c r="H22" s="5" t="inlineStr">
        <is>
          <t>backend_proxy_server.js</t>
        </is>
      </c>
      <c r="I22" s="5" t="n">
        <v>37724</v>
      </c>
    </row>
    <row r="23">
      <c r="A23" s="8" t="n">
        <v>22</v>
      </c>
      <c r="B23" s="9" t="inlineStr">
        <is>
          <t>POST</t>
        </is>
      </c>
      <c r="C23" s="10" t="inlineStr">
        <is>
          <t>/api/admin/parking/generate-predictions</t>
        </is>
      </c>
      <c r="D23" s="8" t="inlineStr">
        <is>
          <t>admin</t>
        </is>
      </c>
      <c r="E23" s="8" t="inlineStr">
        <is>
          <t>Platform</t>
        </is>
      </c>
      <c r="F23" s="8" t="inlineStr">
        <is>
          <t>requireAdmin</t>
        </is>
      </c>
      <c r="G23" s="8" t="inlineStr">
        <is>
          <t>Admin: Generate and store predictions for all facilities</t>
        </is>
      </c>
      <c r="H23" s="8" t="inlineStr">
        <is>
          <t>backend_proxy_server.js</t>
        </is>
      </c>
      <c r="I23" s="8" t="n">
        <v>36316</v>
      </c>
    </row>
    <row r="24">
      <c r="A24" s="5" t="n">
        <v>23</v>
      </c>
      <c r="B24" s="11" t="inlineStr">
        <is>
          <t>POST</t>
        </is>
      </c>
      <c r="C24" s="7" t="inlineStr">
        <is>
          <t>/api/admin/populate-states</t>
        </is>
      </c>
      <c r="D24" s="5" t="inlineStr">
        <is>
          <t>admin</t>
        </is>
      </c>
      <c r="E24" s="5" t="inlineStr">
        <is>
          <t>Platform</t>
        </is>
      </c>
      <c r="F24" s="5" t="inlineStr">
        <is>
          <t>requireAdmin</t>
        </is>
      </c>
      <c r="G24" s="5" t="inlineStr">
        <is>
          <t>Admin endpoint to populate states in database</t>
        </is>
      </c>
      <c r="H24" s="5" t="inlineStr">
        <is>
          <t>backend_proxy_server.js</t>
        </is>
      </c>
      <c r="I24" s="5" t="n">
        <v>17844</v>
      </c>
    </row>
    <row r="25">
      <c r="A25" s="8" t="n">
        <v>24</v>
      </c>
      <c r="B25" s="12" t="inlineStr">
        <is>
          <t>GET</t>
        </is>
      </c>
      <c r="C25" s="10" t="inlineStr">
        <is>
          <t>/api/admin/states</t>
        </is>
      </c>
      <c r="D25" s="8" t="inlineStr">
        <is>
          <t>admin</t>
        </is>
      </c>
      <c r="E25" s="8" t="inlineStr">
        <is>
          <t>Platform</t>
        </is>
      </c>
      <c r="F25" s="8" t="inlineStr">
        <is>
          <t>Admin (token)</t>
        </is>
      </c>
      <c r="G25" s="8" t="inlineStr">
        <is>
          <t>List all states (public gets basic info, admin gets credentials)</t>
        </is>
      </c>
      <c r="H25" s="8" t="inlineStr">
        <is>
          <t>backend_proxy_server.js</t>
        </is>
      </c>
      <c r="I25" s="8" t="n">
        <v>18654</v>
      </c>
    </row>
    <row r="26">
      <c r="A26" s="5" t="n">
        <v>25</v>
      </c>
      <c r="B26" s="11" t="inlineStr">
        <is>
          <t>POST</t>
        </is>
      </c>
      <c r="C26" s="7" t="inlineStr">
        <is>
          <t>/api/admin/states</t>
        </is>
      </c>
      <c r="D26" s="5" t="inlineStr">
        <is>
          <t>admin</t>
        </is>
      </c>
      <c r="E26" s="5" t="inlineStr">
        <is>
          <t>Platform</t>
        </is>
      </c>
      <c r="F26" s="5" t="inlineStr">
        <is>
          <t>requireAdmin</t>
        </is>
      </c>
      <c r="G26" s="5" t="inlineStr">
        <is>
          <t>Add new state (admin only)</t>
        </is>
      </c>
      <c r="H26" s="5" t="inlineStr">
        <is>
          <t>backend_proxy_server.js</t>
        </is>
      </c>
      <c r="I26" s="5" t="n">
        <v>18584</v>
      </c>
    </row>
    <row r="27">
      <c r="A27" s="8" t="n">
        <v>26</v>
      </c>
      <c r="B27" s="15" t="inlineStr">
        <is>
          <t>DELETE</t>
        </is>
      </c>
      <c r="C27" s="10" t="inlineStr">
        <is>
          <t>/api/admin/states/:stateKey</t>
        </is>
      </c>
      <c r="D27" s="8" t="inlineStr">
        <is>
          <t>admin</t>
        </is>
      </c>
      <c r="E27" s="8" t="inlineStr">
        <is>
          <t>Platform</t>
        </is>
      </c>
      <c r="F27" s="8" t="inlineStr">
        <is>
          <t>requireAdmin</t>
        </is>
      </c>
      <c r="G27" s="8" t="inlineStr">
        <is>
          <t>Delete state (admin only)</t>
        </is>
      </c>
      <c r="H27" s="8" t="inlineStr">
        <is>
          <t>backend_proxy_server.js</t>
        </is>
      </c>
      <c r="I27" s="8" t="n">
        <v>18636</v>
      </c>
    </row>
    <row r="28">
      <c r="A28" s="5" t="n">
        <v>27</v>
      </c>
      <c r="B28" s="16" t="inlineStr">
        <is>
          <t>PUT</t>
        </is>
      </c>
      <c r="C28" s="7" t="inlineStr">
        <is>
          <t>/api/admin/states/:stateKey</t>
        </is>
      </c>
      <c r="D28" s="5" t="inlineStr">
        <is>
          <t>admin</t>
        </is>
      </c>
      <c r="E28" s="5" t="inlineStr">
        <is>
          <t>Platform</t>
        </is>
      </c>
      <c r="F28" s="5" t="inlineStr">
        <is>
          <t>requireAdmin</t>
        </is>
      </c>
      <c r="G28" s="5" t="inlineStr">
        <is>
          <t>Update existing state (admin only)</t>
        </is>
      </c>
      <c r="H28" s="5" t="inlineStr">
        <is>
          <t>backend_proxy_server.js</t>
        </is>
      </c>
      <c r="I28" s="5" t="n">
        <v>18617</v>
      </c>
    </row>
    <row r="29">
      <c r="A29" s="8" t="n">
        <v>28</v>
      </c>
      <c r="B29" s="12" t="inlineStr">
        <is>
          <t>GET</t>
        </is>
      </c>
      <c r="C29" s="10" t="inlineStr">
        <is>
          <t>/api/admin/test-state/:stateKey</t>
        </is>
      </c>
      <c r="D29" s="8" t="inlineStr">
        <is>
          <t>admin</t>
        </is>
      </c>
      <c r="E29" s="8" t="inlineStr">
        <is>
          <t>Platform</t>
        </is>
      </c>
      <c r="F29" s="8" t="inlineStr">
        <is>
          <t>requireAdmin</t>
        </is>
      </c>
      <c r="G29" s="8" t="inlineStr">
        <is>
          <t>Test state API connection (admin only)</t>
        </is>
      </c>
      <c r="H29" s="8" t="inlineStr">
        <is>
          <t>backend_proxy_server.js</t>
        </is>
      </c>
      <c r="I29" s="8" t="n">
        <v>19975</v>
      </c>
    </row>
    <row r="30">
      <c r="A30" s="5" t="n">
        <v>29</v>
      </c>
      <c r="B30" s="6" t="inlineStr">
        <is>
          <t>GET</t>
        </is>
      </c>
      <c r="C30" s="7" t="inlineStr">
        <is>
          <t>/api/admin/users</t>
        </is>
      </c>
      <c r="D30" s="5" t="inlineStr">
        <is>
          <t>admin</t>
        </is>
      </c>
      <c r="E30" s="5" t="inlineStr">
        <is>
          <t>Platform</t>
        </is>
      </c>
      <c r="F30" s="5" t="inlineStr">
        <is>
          <t>requireAdmin</t>
        </is>
      </c>
      <c r="G30" s="5" t="inlineStr">
        <is>
          <t>List users</t>
        </is>
      </c>
      <c r="H30" s="5" t="inlineStr">
        <is>
          <t>backend_proxy_server.js</t>
        </is>
      </c>
      <c r="I30" s="5" t="n">
        <v>18446</v>
      </c>
    </row>
    <row r="31">
      <c r="A31" s="8" t="n">
        <v>30</v>
      </c>
      <c r="B31" s="9" t="inlineStr">
        <is>
          <t>POST</t>
        </is>
      </c>
      <c r="C31" s="10" t="inlineStr">
        <is>
          <t>/api/admin/users</t>
        </is>
      </c>
      <c r="D31" s="8" t="inlineStr">
        <is>
          <t>admin</t>
        </is>
      </c>
      <c r="E31" s="8" t="inlineStr">
        <is>
          <t>Platform</t>
        </is>
      </c>
      <c r="F31" s="8" t="inlineStr">
        <is>
          <t>requireAdmin</t>
        </is>
      </c>
      <c r="G31" s="8" t="inlineStr">
        <is>
          <t>Create user</t>
        </is>
      </c>
      <c r="H31" s="8" t="inlineStr">
        <is>
          <t>backend_proxy_server.js</t>
        </is>
      </c>
      <c r="I31" s="8" t="n">
        <v>18457</v>
      </c>
    </row>
    <row r="32">
      <c r="A32" s="5" t="n">
        <v>31</v>
      </c>
      <c r="B32" s="13" t="inlineStr">
        <is>
          <t>DELETE</t>
        </is>
      </c>
      <c r="C32" s="7" t="inlineStr">
        <is>
          <t>/api/admin/users/:userId</t>
        </is>
      </c>
      <c r="D32" s="5" t="inlineStr">
        <is>
          <t>admin</t>
        </is>
      </c>
      <c r="E32" s="5" t="inlineStr">
        <is>
          <t>Platform</t>
        </is>
      </c>
      <c r="F32" s="5" t="inlineStr">
        <is>
          <t>requireAdmin</t>
        </is>
      </c>
      <c r="G32" s="5" t="inlineStr">
        <is>
          <t>Delete user</t>
        </is>
      </c>
      <c r="H32" s="5" t="inlineStr">
        <is>
          <t>backend_proxy_server.js</t>
        </is>
      </c>
      <c r="I32" s="5" t="n">
        <v>18549</v>
      </c>
    </row>
    <row r="33">
      <c r="A33" s="8" t="n">
        <v>32</v>
      </c>
      <c r="B33" s="14" t="inlineStr">
        <is>
          <t>PUT</t>
        </is>
      </c>
      <c r="C33" s="10" t="inlineStr">
        <is>
          <t>/api/admin/users/:userId</t>
        </is>
      </c>
      <c r="D33" s="8" t="inlineStr">
        <is>
          <t>admin</t>
        </is>
      </c>
      <c r="E33" s="8" t="inlineStr">
        <is>
          <t>Platform</t>
        </is>
      </c>
      <c r="F33" s="8" t="inlineStr">
        <is>
          <t>requireAdmin</t>
        </is>
      </c>
      <c r="G33" s="8" t="inlineStr">
        <is>
          <t>Update user</t>
        </is>
      </c>
      <c r="H33" s="8" t="inlineStr">
        <is>
          <t>backend_proxy_server.js</t>
        </is>
      </c>
      <c r="I33" s="8" t="n">
        <v>18497</v>
      </c>
    </row>
    <row r="34">
      <c r="A34" s="5" t="n">
        <v>33</v>
      </c>
      <c r="B34" s="11" t="inlineStr">
        <is>
          <t>POST</t>
        </is>
      </c>
      <c r="C34" s="7" t="inlineStr">
        <is>
          <t>/api/admin/users/:userId/reset-password</t>
        </is>
      </c>
      <c r="D34" s="5" t="inlineStr">
        <is>
          <t>admin</t>
        </is>
      </c>
      <c r="E34" s="5" t="inlineStr">
        <is>
          <t>Platform</t>
        </is>
      </c>
      <c r="F34" s="5" t="inlineStr">
        <is>
          <t>requireAdmin</t>
        </is>
      </c>
      <c r="G34" s="5" t="inlineStr">
        <is>
          <t>Reset password</t>
        </is>
      </c>
      <c r="H34" s="5" t="inlineStr">
        <is>
          <t>backend_proxy_server.js</t>
        </is>
      </c>
      <c r="I34" s="5" t="n">
        <v>18532</v>
      </c>
    </row>
    <row r="35">
      <c r="A35" s="8" t="n">
        <v>34</v>
      </c>
      <c r="B35" s="12" t="inlineStr">
        <is>
          <t>GET</t>
        </is>
      </c>
      <c r="C35" s="10" t="inlineStr">
        <is>
          <t>/api/aerial-overlays</t>
        </is>
      </c>
      <c r="D35" s="8" t="inlineStr">
        <is>
          <t>aerial-overlays</t>
        </is>
      </c>
      <c r="E35" s="8" t="inlineStr">
        <is>
          <t>ITS / infrastructure</t>
        </is>
      </c>
      <c r="F35" s="8" t="inlineStr">
        <is>
          <t>Public (GET)</t>
        </is>
      </c>
      <c r="G35" s="8" t="inlineStr">
        <is>
          <t>GET /api/aerial-overlays — list all overlays</t>
        </is>
      </c>
      <c r="H35" s="8" t="inlineStr">
        <is>
          <t>backend_proxy_server.js</t>
        </is>
      </c>
      <c r="I35" s="8" t="n">
        <v>32215</v>
      </c>
    </row>
    <row r="36">
      <c r="A36" s="5" t="n">
        <v>35</v>
      </c>
      <c r="B36" s="13" t="inlineStr">
        <is>
          <t>DELETE</t>
        </is>
      </c>
      <c r="C36" s="7" t="inlineStr">
        <is>
          <t>/api/aerial-overlays/:id</t>
        </is>
      </c>
      <c r="D36" s="5" t="inlineStr">
        <is>
          <t>aerial-overlays</t>
        </is>
      </c>
      <c r="E36" s="5" t="inlineStr">
        <is>
          <t>ITS / infrastructure</t>
        </is>
      </c>
      <c r="F36" s="5" t="inlineStr">
        <is>
          <t>Write - check handler</t>
        </is>
      </c>
      <c r="G36" s="5" t="inlineStr">
        <is>
          <t>DELETE /api/aerial-overlays/:id — remove DB row + best-effort delete from S3</t>
        </is>
      </c>
      <c r="H36" s="5" t="inlineStr">
        <is>
          <t>backend_proxy_server.js</t>
        </is>
      </c>
      <c r="I36" s="5" t="n">
        <v>32383</v>
      </c>
    </row>
    <row r="37">
      <c r="A37" s="8" t="n">
        <v>36</v>
      </c>
      <c r="B37" s="14" t="inlineStr">
        <is>
          <t>PATCH</t>
        </is>
      </c>
      <c r="C37" s="10" t="inlineStr">
        <is>
          <t>/api/aerial-overlays/:id</t>
        </is>
      </c>
      <c r="D37" s="8" t="inlineStr">
        <is>
          <t>aerial-overlays</t>
        </is>
      </c>
      <c r="E37" s="8" t="inlineStr">
        <is>
          <t>ITS / infrastructure</t>
        </is>
      </c>
      <c r="F37" s="8" t="inlineStr">
        <is>
          <t>Write - check handler</t>
        </is>
      </c>
      <c r="G37" s="8" t="inlineStr">
        <is>
          <t>PATCH /api/aerial-overlays/:id — update bounds (used after the user drags the corner handles to position a PDF on the map). Body: { bounds }</t>
        </is>
      </c>
      <c r="H37" s="8" t="inlineStr">
        <is>
          <t>backend_proxy_server.js</t>
        </is>
      </c>
      <c r="I37" s="8" t="n">
        <v>32359</v>
      </c>
    </row>
    <row r="38">
      <c r="A38" s="5" t="n">
        <v>37</v>
      </c>
      <c r="B38" s="6" t="inlineStr">
        <is>
          <t>GET</t>
        </is>
      </c>
      <c r="C38" s="7" t="inlineStr">
        <is>
          <t>/api/aerial-overlays/:id/image</t>
        </is>
      </c>
      <c r="D38" s="5" t="inlineStr">
        <is>
          <t>aerial-overlays</t>
        </is>
      </c>
      <c r="E38" s="5" t="inlineStr">
        <is>
          <t>ITS / infrastructure</t>
        </is>
      </c>
      <c r="F38" s="5" t="inlineStr">
        <is>
          <t>Public (GET)</t>
        </is>
      </c>
      <c r="G38" s="5" t="inlineStr">
        <is>
          <t>GET /api/aerial-overlays/:id/image — serves the in-DB JPEG bytes. Only relevant when the deploy doesn't have S3 configured; rows backed by S3 use their direct public URL and never hit this endpoint.</t>
        </is>
      </c>
      <c r="H38" s="5" t="inlineStr">
        <is>
          <t>backend_proxy_server.js</t>
        </is>
      </c>
      <c r="I38" s="5" t="n">
        <v>32276</v>
      </c>
    </row>
    <row r="39">
      <c r="A39" s="8" t="n">
        <v>38</v>
      </c>
      <c r="B39" s="9" t="inlineStr">
        <is>
          <t>POST</t>
        </is>
      </c>
      <c r="C39" s="10" t="inlineStr">
        <is>
          <t>/api/aerial-overlays/upload-image</t>
        </is>
      </c>
      <c r="D39" s="8" t="inlineStr">
        <is>
          <t>aerial-overlays</t>
        </is>
      </c>
      <c r="E39" s="8" t="inlineStr">
        <is>
          <t>ITS / infrastructure</t>
        </is>
      </c>
      <c r="F39" s="8" t="inlineStr">
        <is>
          <t>Write - check handler</t>
        </is>
      </c>
      <c r="G39" s="8" t="inlineStr">
        <is>
          <t>POST /api/aerial-overlays/upload-image — accept a pre-rasterized JPEG (used for PDFs after the client renders page 1 to canvas via pdfjs-dist; also used for any other arbitrary raster the user wants on the map).  multipart field: file (image/jpeg or image/png) form fields:     name, file_type ('pdf'</t>
        </is>
      </c>
      <c r="H39" s="8" t="inlineStr">
        <is>
          <t>backend_proxy_server.js</t>
        </is>
      </c>
      <c r="I39" s="8" t="n">
        <v>32324</v>
      </c>
    </row>
    <row r="40">
      <c r="A40" s="5" t="n">
        <v>39</v>
      </c>
      <c r="B40" s="11" t="inlineStr">
        <is>
          <t>POST</t>
        </is>
      </c>
      <c r="C40" s="7" t="inlineStr">
        <is>
          <t>/api/aerial-overlays/upload-tif</t>
        </is>
      </c>
      <c r="D40" s="5" t="inlineStr">
        <is>
          <t>aerial-overlays</t>
        </is>
      </c>
      <c r="E40" s="5" t="inlineStr">
        <is>
          <t>ITS / infrastructure</t>
        </is>
      </c>
      <c r="F40" s="5" t="inlineStr">
        <is>
          <t>Write - check handler</t>
        </is>
      </c>
      <c r="G40" s="5" t="inlineStr">
        <is>
          <t>POST /api/aerial-overlays/upload-tif — process a TIF/GeoTIFF multipart field: file form fields:     name (optional), uploaded_by (optional)</t>
        </is>
      </c>
      <c r="H40" s="5" t="inlineStr">
        <is>
          <t>backend_proxy_server.js</t>
        </is>
      </c>
      <c r="I40" s="5" t="n">
        <v>32299</v>
      </c>
    </row>
    <row r="41">
      <c r="A41" s="8" t="n">
        <v>40</v>
      </c>
      <c r="B41" s="12" t="inlineStr">
        <is>
          <t>GET</t>
        </is>
      </c>
      <c r="C41" s="10" t="inlineStr">
        <is>
          <t>/api/analysis/feed-alignment</t>
        </is>
      </c>
      <c r="D41" s="8" t="inlineStr">
        <is>
          <t>analysis</t>
        </is>
      </c>
      <c r="E41" s="8" t="inlineStr">
        <is>
          <t>Data quality</t>
        </is>
      </c>
      <c r="F41" s="8" t="inlineStr">
        <is>
          <t>Public (GET)</t>
        </is>
      </c>
      <c r="G41" s="8" t="inlineStr">
        <is>
          <t>Cross-State Feed Alignment Analysis</t>
        </is>
      </c>
      <c r="H41" s="8" t="inlineStr">
        <is>
          <t>backend_proxy_server.js</t>
        </is>
      </c>
      <c r="I41" s="8" t="n">
        <v>8300</v>
      </c>
    </row>
    <row r="42">
      <c r="A42" s="5" t="n">
        <v>41</v>
      </c>
      <c r="B42" s="6" t="inlineStr">
        <is>
          <t>GET</t>
        </is>
      </c>
      <c r="C42" s="7" t="inlineStr">
        <is>
          <t>/api/analysis/normalization</t>
        </is>
      </c>
      <c r="D42" s="5" t="inlineStr">
        <is>
          <t>analysis</t>
        </is>
      </c>
      <c r="E42" s="5" t="inlineStr">
        <is>
          <t>Data quality</t>
        </is>
      </c>
      <c r="F42" s="5" t="inlineStr">
        <is>
          <t>Public (GET)</t>
        </is>
      </c>
      <c r="G42" s="5" t="inlineStr">
        <is>
          <t>Generate normalization report for all states</t>
        </is>
      </c>
      <c r="H42" s="5" t="inlineStr">
        <is>
          <t>backend_proxy_server.js</t>
        </is>
      </c>
      <c r="I42" s="5" t="n">
        <v>8076</v>
      </c>
    </row>
    <row r="43">
      <c r="A43" s="8" t="n">
        <v>42</v>
      </c>
      <c r="B43" s="12" t="inlineStr">
        <is>
          <t>GET</t>
        </is>
      </c>
      <c r="C43" s="10" t="inlineStr">
        <is>
          <t>/api/analytics/comparison</t>
        </is>
      </c>
      <c r="D43" s="8" t="inlineStr">
        <is>
          <t>analytics</t>
        </is>
      </c>
      <c r="E43" s="8" t="inlineStr">
        <is>
          <t>Analytics &amp; prediction</t>
        </is>
      </c>
      <c r="F43" s="8" t="inlineStr">
        <is>
          <t>Public (GET)</t>
        </is>
      </c>
      <c r="G43" s="8" t="inlineStr">
        <is>
          <t>Get multi-corridor comparison</t>
        </is>
      </c>
      <c r="H43" s="8" t="inlineStr">
        <is>
          <t>backend_proxy_server.js</t>
        </is>
      </c>
      <c r="I43" s="8" t="n">
        <v>12956</v>
      </c>
    </row>
    <row r="44">
      <c r="A44" s="5" t="n">
        <v>43</v>
      </c>
      <c r="B44" s="6" t="inlineStr">
        <is>
          <t>GET</t>
        </is>
      </c>
      <c r="C44" s="7" t="inlineStr">
        <is>
          <t>/api/analytics/corridor/:corridor</t>
        </is>
      </c>
      <c r="D44" s="5" t="inlineStr">
        <is>
          <t>analytics</t>
        </is>
      </c>
      <c r="E44" s="5" t="inlineStr">
        <is>
          <t>Analytics &amp; prediction</t>
        </is>
      </c>
      <c r="F44" s="5" t="inlineStr">
        <is>
          <t>Public (GET)</t>
        </is>
      </c>
      <c r="G44" s="5" t="inlineStr">
        <is>
          <t>Get corridor performance daily metrics</t>
        </is>
      </c>
      <c r="H44" s="5" t="inlineStr">
        <is>
          <t>backend_proxy_server.js</t>
        </is>
      </c>
      <c r="I44" s="5" t="n">
        <v>12739</v>
      </c>
    </row>
    <row r="45">
      <c r="A45" s="8" t="n">
        <v>44</v>
      </c>
      <c r="B45" s="12" t="inlineStr">
        <is>
          <t>GET</t>
        </is>
      </c>
      <c r="C45" s="10" t="inlineStr">
        <is>
          <t>/api/analytics/state/:state</t>
        </is>
      </c>
      <c r="D45" s="8" t="inlineStr">
        <is>
          <t>analytics</t>
        </is>
      </c>
      <c r="E45" s="8" t="inlineStr">
        <is>
          <t>Analytics &amp; prediction</t>
        </is>
      </c>
      <c r="F45" s="8" t="inlineStr">
        <is>
          <t>Public (GET)</t>
        </is>
      </c>
      <c r="G45" s="8" t="inlineStr">
        <is>
          <t>Get state performance analytics</t>
        </is>
      </c>
      <c r="H45" s="8" t="inlineStr">
        <is>
          <t>backend_proxy_server.js</t>
        </is>
      </c>
      <c r="I45" s="8" t="n">
        <v>12805</v>
      </c>
    </row>
    <row r="46">
      <c r="A46" s="5" t="n">
        <v>45</v>
      </c>
      <c r="B46" s="6" t="inlineStr">
        <is>
          <t>GET</t>
        </is>
      </c>
      <c r="C46" s="7" t="inlineStr">
        <is>
          <t>/api/analytics/summary</t>
        </is>
      </c>
      <c r="D46" s="5" t="inlineStr">
        <is>
          <t>analytics</t>
        </is>
      </c>
      <c r="E46" s="5" t="inlineStr">
        <is>
          <t>Analytics &amp; prediction</t>
        </is>
      </c>
      <c r="F46" s="5" t="inlineStr">
        <is>
          <t>Public (GET)</t>
        </is>
      </c>
      <c r="G46" s="5" t="inlineStr">
        <is>
          <t>Get performance summary (executive dashboard)</t>
        </is>
      </c>
      <c r="H46" s="5" t="inlineStr">
        <is>
          <t>backend_proxy_server.js</t>
        </is>
      </c>
      <c r="I46" s="5" t="n">
        <v>13014</v>
      </c>
    </row>
    <row r="47">
      <c r="A47" s="8" t="n">
        <v>46</v>
      </c>
      <c r="B47" s="12" t="inlineStr">
        <is>
          <t>GET</t>
        </is>
      </c>
      <c r="C47" s="10" t="inlineStr">
        <is>
          <t>/api/analytics/trends</t>
        </is>
      </c>
      <c r="D47" s="8" t="inlineStr">
        <is>
          <t>analytics</t>
        </is>
      </c>
      <c r="E47" s="8" t="inlineStr">
        <is>
          <t>Analytics &amp; prediction</t>
        </is>
      </c>
      <c r="F47" s="8" t="inlineStr">
        <is>
          <t>Public (GET)</t>
        </is>
      </c>
      <c r="G47" s="8" t="inlineStr">
        <is>
          <t>Get performance trends</t>
        </is>
      </c>
      <c r="H47" s="8" t="inlineStr">
        <is>
          <t>backend_proxy_server.js</t>
        </is>
      </c>
      <c r="I47" s="8" t="n">
        <v>12867</v>
      </c>
    </row>
    <row r="48">
      <c r="A48" s="5" t="n">
        <v>47</v>
      </c>
      <c r="B48" s="6" t="inlineStr">
        <is>
          <t>GET</t>
        </is>
      </c>
      <c r="C48" s="7" t="inlineStr">
        <is>
          <t>/api/asset-health/asset/:assetId</t>
        </is>
      </c>
      <c r="D48" s="5" t="inlineStr">
        <is>
          <t>asset-health</t>
        </is>
      </c>
      <c r="E48" s="5" t="inlineStr">
        <is>
          <t>ITS / infrastructure</t>
        </is>
      </c>
      <c r="F48" s="5" t="inlineStr">
        <is>
          <t>Public (GET)</t>
        </is>
      </c>
      <c r="G48" s="5" t="inlineStr">
        <is>
          <t>Get detailed information for a specific asset GET /api/asset-health/asset/:assetId</t>
        </is>
      </c>
      <c r="H48" s="5" t="inlineStr">
        <is>
          <t>backend_proxy_server.js</t>
        </is>
      </c>
      <c r="I48" s="5" t="n">
        <v>22641</v>
      </c>
    </row>
    <row r="49">
      <c r="A49" s="8" t="n">
        <v>48</v>
      </c>
      <c r="B49" s="12" t="inlineStr">
        <is>
          <t>GET</t>
        </is>
      </c>
      <c r="C49" s="10" t="inlineStr">
        <is>
          <t>/api/asset-health/coverage-gaps/:stateKey</t>
        </is>
      </c>
      <c r="D49" s="8" t="inlineStr">
        <is>
          <t>asset-health</t>
        </is>
      </c>
      <c r="E49" s="8" t="inlineStr">
        <is>
          <t>ITS / infrastructure</t>
        </is>
      </c>
      <c r="F49" s="8" t="inlineStr">
        <is>
          <t>Public (GET)</t>
        </is>
      </c>
      <c r="G49" s="8" t="inlineStr">
        <is>
          <t>Get coverage gaps for a state GET /api/asset-health/coverage-gaps/:stateKey</t>
        </is>
      </c>
      <c r="H49" s="8" t="inlineStr">
        <is>
          <t>backend_proxy_server.js</t>
        </is>
      </c>
      <c r="I49" s="8" t="n">
        <v>22702</v>
      </c>
    </row>
    <row r="50">
      <c r="A50" s="5" t="n">
        <v>49</v>
      </c>
      <c r="B50" s="6" t="inlineStr">
        <is>
          <t>GET</t>
        </is>
      </c>
      <c r="C50" s="7" t="inlineStr">
        <is>
          <t>/api/asset-health/dashboard/:stateKey</t>
        </is>
      </c>
      <c r="D50" s="5" t="inlineStr">
        <is>
          <t>asset-health</t>
        </is>
      </c>
      <c r="E50" s="5" t="inlineStr">
        <is>
          <t>ITS / infrastructure</t>
        </is>
      </c>
      <c r="F50" s="5" t="inlineStr">
        <is>
          <t>Public (GET)</t>
        </is>
      </c>
      <c r="G50" s="5" t="inlineStr">
        <is>
          <t>Get asset health dashboard for a state GET /api/asset-health/dashboard/:stateKey</t>
        </is>
      </c>
      <c r="H50" s="5" t="inlineStr">
        <is>
          <t>backend_proxy_server.js</t>
        </is>
      </c>
      <c r="I50" s="5" t="n">
        <v>22521</v>
      </c>
    </row>
    <row r="51">
      <c r="A51" s="8" t="n">
        <v>50</v>
      </c>
      <c r="B51" s="9" t="inlineStr">
        <is>
          <t>POST</t>
        </is>
      </c>
      <c r="C51" s="10" t="inlineStr">
        <is>
          <t>/api/asset-health/maintenance/schedule</t>
        </is>
      </c>
      <c r="D51" s="8" t="inlineStr">
        <is>
          <t>asset-health</t>
        </is>
      </c>
      <c r="E51" s="8" t="inlineStr">
        <is>
          <t>ITS / infrastructure</t>
        </is>
      </c>
      <c r="F51" s="8" t="inlineStr">
        <is>
          <t>Write - check handler</t>
        </is>
      </c>
      <c r="G51" s="8" t="inlineStr">
        <is>
          <t>Schedule new maintenance activity POST /api/asset-health/maintenance/schedule</t>
        </is>
      </c>
      <c r="H51" s="8" t="inlineStr">
        <is>
          <t>backend_proxy_server.js</t>
        </is>
      </c>
      <c r="I51" s="8" t="n">
        <v>22820</v>
      </c>
    </row>
    <row r="52">
      <c r="A52" s="5" t="n">
        <v>51</v>
      </c>
      <c r="B52" s="6" t="inlineStr">
        <is>
          <t>GET</t>
        </is>
      </c>
      <c r="C52" s="7" t="inlineStr">
        <is>
          <t>/api/asset-health/maintenance/upcoming</t>
        </is>
      </c>
      <c r="D52" s="5" t="inlineStr">
        <is>
          <t>asset-health</t>
        </is>
      </c>
      <c r="E52" s="5" t="inlineStr">
        <is>
          <t>ITS / infrastructure</t>
        </is>
      </c>
      <c r="F52" s="5" t="inlineStr">
        <is>
          <t>Public (GET)</t>
        </is>
      </c>
      <c r="G52" s="5" t="inlineStr">
        <is>
          <t>Get upcoming maintenance schedule GET /api/asset-health/maintenance/upcoming?state=:stateKey&amp;days=30</t>
        </is>
      </c>
      <c r="H52" s="5" t="inlineStr">
        <is>
          <t>backend_proxy_server.js</t>
        </is>
      </c>
      <c r="I52" s="5" t="n">
        <v>22758</v>
      </c>
    </row>
    <row r="53">
      <c r="A53" s="8" t="n">
        <v>52</v>
      </c>
      <c r="B53" s="9" t="inlineStr">
        <is>
          <t>POST</t>
        </is>
      </c>
      <c r="C53" s="10" t="inlineStr">
        <is>
          <t>/api/asset-health/monitor/:assetId</t>
        </is>
      </c>
      <c r="D53" s="8" t="inlineStr">
        <is>
          <t>asset-health</t>
        </is>
      </c>
      <c r="E53" s="8" t="inlineStr">
        <is>
          <t>ITS / infrastructure</t>
        </is>
      </c>
      <c r="F53" s="8" t="inlineStr">
        <is>
          <t>Write - check handler</t>
        </is>
      </c>
      <c r="G53" s="8" t="inlineStr">
        <is>
          <t>Monitor health of a specific asset (trigger health check) POST /api/asset-health/monitor/:assetId</t>
        </is>
      </c>
      <c r="H53" s="8" t="inlineStr">
        <is>
          <t>backend_proxy_server.js</t>
        </is>
      </c>
      <c r="I53" s="8" t="n">
        <v>22675</v>
      </c>
    </row>
    <row r="54">
      <c r="A54" s="5" t="n">
        <v>53</v>
      </c>
      <c r="B54" s="6" t="inlineStr">
        <is>
          <t>GET</t>
        </is>
      </c>
      <c r="C54" s="7" t="inlineStr">
        <is>
          <t>/api/assets/critical-alerts</t>
        </is>
      </c>
      <c r="D54" s="5" t="inlineStr">
        <is>
          <t>assets</t>
        </is>
      </c>
      <c r="E54" s="5" t="inlineStr">
        <is>
          <t>ITS / infrastructure</t>
        </is>
      </c>
      <c r="F54" s="5" t="inlineStr">
        <is>
          <t>Public (GET)</t>
        </is>
      </c>
      <c r="G54" s="5" t="inlineStr">
        <is>
          <t>Get critical assets alert</t>
        </is>
      </c>
      <c r="H54" s="5" t="inlineStr">
        <is>
          <t>backend_proxy_server.js</t>
        </is>
      </c>
      <c r="I54" s="5" t="n">
        <v>24328</v>
      </c>
    </row>
    <row r="55">
      <c r="A55" s="8" t="n">
        <v>54</v>
      </c>
      <c r="B55" s="12" t="inlineStr">
        <is>
          <t>GET</t>
        </is>
      </c>
      <c r="C55" s="10" t="inlineStr">
        <is>
          <t>/api/assets/health</t>
        </is>
      </c>
      <c r="D55" s="8" t="inlineStr">
        <is>
          <t>assets</t>
        </is>
      </c>
      <c r="E55" s="8" t="inlineStr">
        <is>
          <t>ITS / infrastructure</t>
        </is>
      </c>
      <c r="F55" s="8" t="inlineStr">
        <is>
          <t>Public (GET)</t>
        </is>
      </c>
      <c r="G55" s="8" t="inlineStr">
        <is>
          <t>Get asset health status</t>
        </is>
      </c>
      <c r="H55" s="8" t="inlineStr">
        <is>
          <t>backend_proxy_server.js</t>
        </is>
      </c>
      <c r="I55" s="8" t="n">
        <v>24189</v>
      </c>
    </row>
    <row r="56">
      <c r="A56" s="5" t="n">
        <v>55</v>
      </c>
      <c r="B56" s="6" t="inlineStr">
        <is>
          <t>GET</t>
        </is>
      </c>
      <c r="C56" s="7" t="inlineStr">
        <is>
          <t>/api/assets/predictive-maintenance</t>
        </is>
      </c>
      <c r="D56" s="5" t="inlineStr">
        <is>
          <t>assets</t>
        </is>
      </c>
      <c r="E56" s="5" t="inlineStr">
        <is>
          <t>ITS / infrastructure</t>
        </is>
      </c>
      <c r="F56" s="5" t="inlineStr">
        <is>
          <t>Public (GET)</t>
        </is>
      </c>
      <c r="G56" s="5" t="inlineStr">
        <is>
          <t>Get predictive maintenance predictions</t>
        </is>
      </c>
      <c r="H56" s="5" t="inlineStr">
        <is>
          <t>backend_proxy_server.js</t>
        </is>
      </c>
      <c r="I56" s="5" t="n">
        <v>24262</v>
      </c>
    </row>
    <row r="57">
      <c r="A57" s="8" t="n">
        <v>56</v>
      </c>
      <c r="B57" s="12" t="inlineStr">
        <is>
          <t>GET</t>
        </is>
      </c>
      <c r="C57" s="10" t="inlineStr">
        <is>
          <t>/api/bim/bridges</t>
        </is>
      </c>
      <c r="D57" s="8" t="inlineStr">
        <is>
          <t>bim</t>
        </is>
      </c>
      <c r="E57" s="8" t="inlineStr">
        <is>
          <t>ITS / infrastructure</t>
        </is>
      </c>
      <c r="F57" s="8" t="inlineStr">
        <is>
          <t>Public (GET)</t>
        </is>
      </c>
      <c r="G57" s="8" t="inlineStr">
        <is>
          <t>GET /api/bim/bridges - Get BIM bridges with V2X/AV tagging</t>
        </is>
      </c>
      <c r="H57" s="8" t="inlineStr">
        <is>
          <t>backend_proxy_server.js</t>
        </is>
      </c>
      <c r="I57" s="8" t="n">
        <v>16455</v>
      </c>
    </row>
    <row r="58">
      <c r="A58" s="5" t="n">
        <v>57</v>
      </c>
      <c r="B58" s="6" t="inlineStr">
        <is>
          <t>GET</t>
        </is>
      </c>
      <c r="C58" s="7" t="inlineStr">
        <is>
          <t>/api/bim/models</t>
        </is>
      </c>
      <c r="D58" s="5" t="inlineStr">
        <is>
          <t>bim</t>
        </is>
      </c>
      <c r="E58" s="5" t="inlineStr">
        <is>
          <t>ITS / infrastructure</t>
        </is>
      </c>
      <c r="F58" s="5" t="inlineStr">
        <is>
          <t>Public (GET)</t>
        </is>
      </c>
      <c r="G58" s="5" t="inlineStr">
        <is>
          <t>List all BIM models from bim_models table</t>
        </is>
      </c>
      <c r="H58" s="5" t="inlineStr">
        <is>
          <t>backend_proxy_server.js</t>
        </is>
      </c>
      <c r="I58" s="5" t="n">
        <v>28205</v>
      </c>
    </row>
    <row r="59">
      <c r="A59" s="8" t="n">
        <v>58</v>
      </c>
      <c r="B59" s="12" t="inlineStr">
        <is>
          <t>GET</t>
        </is>
      </c>
      <c r="C59" s="10" t="inlineStr">
        <is>
          <t>/api/bim/models/:id</t>
        </is>
      </c>
      <c r="D59" s="8" t="inlineStr">
        <is>
          <t>bim</t>
        </is>
      </c>
      <c r="E59" s="8" t="inlineStr">
        <is>
          <t>ITS / infrastructure</t>
        </is>
      </c>
      <c r="F59" s="8" t="inlineStr">
        <is>
          <t>Public (GET)</t>
        </is>
      </c>
      <c r="G59" s="8" t="inlineStr">
        <is>
          <t>Get BIM model details (simplified endpoint for bim_models table)</t>
        </is>
      </c>
      <c r="H59" s="8" t="inlineStr">
        <is>
          <t>backend_proxy_server.js</t>
        </is>
      </c>
      <c r="I59" s="8" t="n">
        <v>28259</v>
      </c>
    </row>
    <row r="60">
      <c r="A60" s="5" t="n">
        <v>59</v>
      </c>
      <c r="B60" s="6" t="inlineStr">
        <is>
          <t>GET</t>
        </is>
      </c>
      <c r="C60" s="7" t="inlineStr">
        <is>
          <t>/api/biweekly-reports</t>
        </is>
      </c>
      <c r="D60" s="5" t="inlineStr">
        <is>
          <t>biweekly-reports</t>
        </is>
      </c>
      <c r="E60" s="5" t="inlineStr">
        <is>
          <t>Collaboration</t>
        </is>
      </c>
      <c r="F60" s="5" t="inlineStr">
        <is>
          <t>Public (GET)</t>
        </is>
      </c>
      <c r="G60" s="5" t="inlineStr">
        <is>
          <t>Get all biweekly reports</t>
        </is>
      </c>
      <c r="H60" s="5" t="inlineStr">
        <is>
          <t>backend_proxy_server.js</t>
        </is>
      </c>
      <c r="I60" s="5" t="n">
        <v>19080</v>
      </c>
    </row>
    <row r="61">
      <c r="A61" s="8" t="n">
        <v>60</v>
      </c>
      <c r="B61" s="9" t="inlineStr">
        <is>
          <t>POST</t>
        </is>
      </c>
      <c r="C61" s="10" t="inlineStr">
        <is>
          <t>/api/biweekly-reports</t>
        </is>
      </c>
      <c r="D61" s="8" t="inlineStr">
        <is>
          <t>biweekly-reports</t>
        </is>
      </c>
      <c r="E61" s="8" t="inlineStr">
        <is>
          <t>Collaboration</t>
        </is>
      </c>
      <c r="F61" s="8" t="inlineStr">
        <is>
          <t>requireAdmin</t>
        </is>
      </c>
      <c r="G61" s="8" t="inlineStr">
        <is>
          <t>Create new biweekly report</t>
        </is>
      </c>
      <c r="H61" s="8" t="inlineStr">
        <is>
          <t>backend_proxy_server.js</t>
        </is>
      </c>
      <c r="I61" s="8" t="n">
        <v>19102</v>
      </c>
    </row>
    <row r="62">
      <c r="A62" s="5" t="n">
        <v>61</v>
      </c>
      <c r="B62" s="13" t="inlineStr">
        <is>
          <t>DELETE</t>
        </is>
      </c>
      <c r="C62" s="7" t="inlineStr">
        <is>
          <t>/api/biweekly-reports/:id</t>
        </is>
      </c>
      <c r="D62" s="5" t="inlineStr">
        <is>
          <t>biweekly-reports</t>
        </is>
      </c>
      <c r="E62" s="5" t="inlineStr">
        <is>
          <t>Collaboration</t>
        </is>
      </c>
      <c r="F62" s="5" t="inlineStr">
        <is>
          <t>requireAdmin</t>
        </is>
      </c>
      <c r="G62" s="5" t="inlineStr">
        <is>
          <t>Delete biweekly report</t>
        </is>
      </c>
      <c r="H62" s="5" t="inlineStr">
        <is>
          <t>backend_proxy_server.js</t>
        </is>
      </c>
      <c r="I62" s="5" t="n">
        <v>19178</v>
      </c>
    </row>
    <row r="63">
      <c r="A63" s="8" t="n">
        <v>62</v>
      </c>
      <c r="B63" s="14" t="inlineStr">
        <is>
          <t>PUT</t>
        </is>
      </c>
      <c r="C63" s="10" t="inlineStr">
        <is>
          <t>/api/biweekly-reports/:id</t>
        </is>
      </c>
      <c r="D63" s="8" t="inlineStr">
        <is>
          <t>biweekly-reports</t>
        </is>
      </c>
      <c r="E63" s="8" t="inlineStr">
        <is>
          <t>Collaboration</t>
        </is>
      </c>
      <c r="F63" s="8" t="inlineStr">
        <is>
          <t>requireAdmin</t>
        </is>
      </c>
      <c r="G63" s="8" t="inlineStr">
        <is>
          <t>Update biweekly report</t>
        </is>
      </c>
      <c r="H63" s="8" t="inlineStr">
        <is>
          <t>backend_proxy_server.js</t>
        </is>
      </c>
      <c r="I63" s="8" t="n">
        <v>19141</v>
      </c>
    </row>
    <row r="64">
      <c r="A64" s="5" t="n">
        <v>63</v>
      </c>
      <c r="B64" s="6" t="inlineStr">
        <is>
          <t>GET</t>
        </is>
      </c>
      <c r="C64" s="7" t="inlineStr">
        <is>
          <t>/api/border-notifications</t>
        </is>
      </c>
      <c r="D64" s="5" t="inlineStr">
        <is>
          <t>border-notifications</t>
        </is>
      </c>
      <c r="E64" s="5" t="inlineStr">
        <is>
          <t>Freight &amp; clearance</t>
        </is>
      </c>
      <c r="F64" s="5" t="inlineStr">
        <is>
          <t>Public (GET)</t>
        </is>
      </c>
      <c r="G64" s="5" t="inlineStr">
        <is>
          <t>Get border notification history</t>
        </is>
      </c>
      <c r="H64" s="5" t="inlineStr">
        <is>
          <t>backend_proxy_server.js</t>
        </is>
      </c>
      <c r="I64" s="5" t="n">
        <v>11970</v>
      </c>
    </row>
    <row r="65">
      <c r="A65" s="8" t="n">
        <v>64</v>
      </c>
      <c r="B65" s="9" t="inlineStr">
        <is>
          <t>POST</t>
        </is>
      </c>
      <c r="C65" s="10" t="inlineStr">
        <is>
          <t>/api/border-notifications/check</t>
        </is>
      </c>
      <c r="D65" s="8" t="inlineStr">
        <is>
          <t>border-notifications</t>
        </is>
      </c>
      <c r="E65" s="8" t="inlineStr">
        <is>
          <t>Freight &amp; clearance</t>
        </is>
      </c>
      <c r="F65" s="8" t="inlineStr">
        <is>
          <t>Write - check handler</t>
        </is>
      </c>
      <c r="G65" s="8" t="inlineStr">
        <is>
          <t>Endpoint to manually trigger border notifications for an event</t>
        </is>
      </c>
      <c r="H65" s="8" t="inlineStr">
        <is>
          <t>backend_proxy_server.js</t>
        </is>
      </c>
      <c r="I65" s="8" t="n">
        <v>11935</v>
      </c>
    </row>
    <row r="66">
      <c r="A66" s="5" t="n">
        <v>65</v>
      </c>
      <c r="B66" s="6" t="inlineStr">
        <is>
          <t>GET</t>
        </is>
      </c>
      <c r="C66" s="7" t="inlineStr">
        <is>
          <t>/api/border-notifications/config</t>
        </is>
      </c>
      <c r="D66" s="5" t="inlineStr">
        <is>
          <t>border-notifications</t>
        </is>
      </c>
      <c r="E66" s="5" t="inlineStr">
        <is>
          <t>Freight &amp; clearance</t>
        </is>
      </c>
      <c r="F66" s="5" t="inlineStr">
        <is>
          <t>Public (GET)</t>
        </is>
      </c>
      <c r="G66" s="5" t="inlineStr">
        <is>
          <t>Get current border proximity configuration</t>
        </is>
      </c>
      <c r="H66" s="5" t="inlineStr">
        <is>
          <t>backend_proxy_server.js</t>
        </is>
      </c>
      <c r="I66" s="5" t="n">
        <v>12055</v>
      </c>
    </row>
    <row r="67">
      <c r="A67" s="8" t="n">
        <v>66</v>
      </c>
      <c r="B67" s="14" t="inlineStr">
        <is>
          <t>PUT</t>
        </is>
      </c>
      <c r="C67" s="10" t="inlineStr">
        <is>
          <t>/api/border-notifications/config</t>
        </is>
      </c>
      <c r="D67" s="8" t="inlineStr">
        <is>
          <t>border-notifications</t>
        </is>
      </c>
      <c r="E67" s="8" t="inlineStr">
        <is>
          <t>Freight &amp; clearance</t>
        </is>
      </c>
      <c r="F67" s="8" t="inlineStr">
        <is>
          <t>Write - check handler</t>
        </is>
      </c>
      <c r="G67" s="8" t="inlineStr">
        <is>
          <t>Update border proximity configuration</t>
        </is>
      </c>
      <c r="H67" s="8" t="inlineStr">
        <is>
          <t>backend_proxy_server.js</t>
        </is>
      </c>
      <c r="I67" s="8" t="n">
        <v>12020</v>
      </c>
    </row>
    <row r="68">
      <c r="A68" s="5" t="n">
        <v>67</v>
      </c>
      <c r="B68" s="6" t="inlineStr">
        <is>
          <t>GET</t>
        </is>
      </c>
      <c r="C68" s="7" t="inlineStr">
        <is>
          <t>/api/border-wait-times</t>
        </is>
      </c>
      <c r="D68" s="5" t="inlineStr">
        <is>
          <t>border-wait-times</t>
        </is>
      </c>
      <c r="E68" s="5" t="inlineStr">
        <is>
          <t>Freight &amp; clearance</t>
        </is>
      </c>
      <c r="F68" s="5" t="inlineStr">
        <is>
          <t>Public (GET)</t>
        </is>
      </c>
      <c r="G68" s="5" t="inlineStr"/>
      <c r="H68" s="5" t="inlineStr">
        <is>
          <t>backend_proxy_server.js</t>
        </is>
      </c>
      <c r="I68" s="5" t="n">
        <v>36081</v>
      </c>
    </row>
    <row r="69">
      <c r="A69" s="8" t="n">
        <v>68</v>
      </c>
      <c r="B69" s="9" t="inlineStr">
        <is>
          <t>POST</t>
        </is>
      </c>
      <c r="C69" s="10" t="inlineStr">
        <is>
          <t>/api/bridge-clearances/bulk-import</t>
        </is>
      </c>
      <c r="D69" s="8" t="inlineStr">
        <is>
          <t>bridge-clearances</t>
        </is>
      </c>
      <c r="E69" s="8" t="inlineStr">
        <is>
          <t>Freight &amp; clearance</t>
        </is>
      </c>
      <c r="F69" s="8" t="inlineStr">
        <is>
          <t>requireAdmin</t>
        </is>
      </c>
      <c r="G69" s="8" t="inlineStr"/>
      <c r="H69" s="8" t="inlineStr">
        <is>
          <t>backend_proxy_server.js</t>
        </is>
      </c>
      <c r="I69" s="8" t="n">
        <v>18901</v>
      </c>
    </row>
    <row r="70">
      <c r="A70" s="5" t="n">
        <v>69</v>
      </c>
      <c r="B70" s="11" t="inlineStr">
        <is>
          <t>POST</t>
        </is>
      </c>
      <c r="C70" s="7" t="inlineStr">
        <is>
          <t>/api/bridge-clearances/import</t>
        </is>
      </c>
      <c r="D70" s="5" t="inlineStr">
        <is>
          <t>bridge-clearances</t>
        </is>
      </c>
      <c r="E70" s="5" t="inlineStr">
        <is>
          <t>Freight &amp; clearance</t>
        </is>
      </c>
      <c r="F70" s="5" t="inlineStr">
        <is>
          <t>requireAdmin</t>
        </is>
      </c>
      <c r="G70" s="5" t="inlineStr"/>
      <c r="H70" s="5" t="inlineStr">
        <is>
          <t>backend_proxy_server.js</t>
        </is>
      </c>
      <c r="I70" s="5" t="n">
        <v>18900</v>
      </c>
    </row>
    <row r="71">
      <c r="A71" s="8" t="n">
        <v>70</v>
      </c>
      <c r="B71" s="9" t="inlineStr">
        <is>
          <t>POST</t>
        </is>
      </c>
      <c r="C71" s="10" t="inlineStr">
        <is>
          <t>/api/bridge-clearances/sync-hub</t>
        </is>
      </c>
      <c r="D71" s="8" t="inlineStr">
        <is>
          <t>bridge-clearances</t>
        </is>
      </c>
      <c r="E71" s="8" t="inlineStr">
        <is>
          <t>Freight &amp; clearance</t>
        </is>
      </c>
      <c r="F71" s="8" t="inlineStr">
        <is>
          <t>requireAdmin</t>
        </is>
      </c>
      <c r="G71" s="8" t="inlineStr">
        <is>
          <t>Pull the national Clearance Hub dataset (public reads, no hub token needed). Body/query: hub_url (required), max_feet (default 16.5 — only low underpasses matter operationally), allow_raise, max_pages.</t>
        </is>
      </c>
      <c r="H71" s="8" t="inlineStr">
        <is>
          <t>backend_proxy_server.js</t>
        </is>
      </c>
      <c r="I71" s="8" t="n">
        <v>18906</v>
      </c>
    </row>
    <row r="72">
      <c r="A72" s="5" t="n">
        <v>71</v>
      </c>
      <c r="B72" s="6" t="inlineStr">
        <is>
          <t>GET</t>
        </is>
      </c>
      <c r="C72" s="7" t="inlineStr">
        <is>
          <t>/api/bridge-warnings/active</t>
        </is>
      </c>
      <c r="D72" s="5" t="inlineStr">
        <is>
          <t>bridge-warnings</t>
        </is>
      </c>
      <c r="E72" s="5" t="inlineStr">
        <is>
          <t>Freight &amp; clearance</t>
        </is>
      </c>
      <c r="F72" s="5" t="inlineStr">
        <is>
          <t>Public (GET)</t>
        </is>
      </c>
      <c r="G72" s="5" t="inlineStr"/>
      <c r="H72" s="5" t="inlineStr">
        <is>
          <t>backend_proxy_server.js</t>
        </is>
      </c>
      <c r="I72" s="5" t="n">
        <v>18763</v>
      </c>
    </row>
    <row r="73">
      <c r="A73" s="8" t="n">
        <v>72</v>
      </c>
      <c r="B73" s="12" t="inlineStr">
        <is>
          <t>GET</t>
        </is>
      </c>
      <c r="C73" s="10" t="inlineStr">
        <is>
          <t>/api/bridges/all</t>
        </is>
      </c>
      <c r="D73" s="8" t="inlineStr">
        <is>
          <t>bridges</t>
        </is>
      </c>
      <c r="E73" s="8" t="inlineStr">
        <is>
          <t>Freight &amp; clearance</t>
        </is>
      </c>
      <c r="F73" s="8" t="inlineStr">
        <is>
          <t>Public (GET)</t>
        </is>
      </c>
      <c r="G73" s="8" t="inlineStr">
        <is>
          <t>costs ~0 egress on reloads. The construction-proximity flag is computed on the CLIENT against the events the map already loaded (zero extra egress) instead of being baked into this response (which would bust the cache every refresh).  Optional ?maxClearanceFeet=N trims the payload to only low underp</t>
        </is>
      </c>
      <c r="H73" s="8" t="inlineStr">
        <is>
          <t>backend_proxy_server.js</t>
        </is>
      </c>
      <c r="I73" s="8" t="n">
        <v>18777</v>
      </c>
    </row>
    <row r="74">
      <c r="A74" s="5" t="n">
        <v>73</v>
      </c>
      <c r="B74" s="6" t="inlineStr">
        <is>
          <t>GET</t>
        </is>
      </c>
      <c r="C74" s="7" t="inlineStr">
        <is>
          <t>/api/cadd/export-formats</t>
        </is>
      </c>
      <c r="D74" s="5" t="inlineStr">
        <is>
          <t>cadd</t>
        </is>
      </c>
      <c r="E74" s="5" t="inlineStr">
        <is>
          <t>ITS / infrastructure</t>
        </is>
      </c>
      <c r="F74" s="5" t="inlineStr">
        <is>
          <t>Public (GET)</t>
        </is>
      </c>
      <c r="G74" s="5" t="inlineStr">
        <is>
          <t>Get supported export formats</t>
        </is>
      </c>
      <c r="H74" s="5" t="inlineStr">
        <is>
          <t>backend_proxy_server.js</t>
        </is>
      </c>
      <c r="I74" s="5" t="n">
        <v>31457</v>
      </c>
    </row>
    <row r="75">
      <c r="A75" s="8" t="n">
        <v>74</v>
      </c>
      <c r="B75" s="12" t="inlineStr">
        <is>
          <t>GET</t>
        </is>
      </c>
      <c r="C75" s="10" t="inlineStr">
        <is>
          <t>/api/cadd/export/:format</t>
        </is>
      </c>
      <c r="D75" s="8" t="inlineStr">
        <is>
          <t>cadd</t>
        </is>
      </c>
      <c r="E75" s="8" t="inlineStr">
        <is>
          <t>ITS / infrastructure</t>
        </is>
      </c>
      <c r="F75" s="8" t="inlineStr">
        <is>
          <t>Public (GET)</t>
        </is>
      </c>
      <c r="G75" s="8" t="inlineStr">
        <is>
          <t>Export CADD assets to GIS formats (GeoJSON, Shapefile, GDB)</t>
        </is>
      </c>
      <c r="H75" s="8" t="inlineStr">
        <is>
          <t>backend_proxy_server.js</t>
        </is>
      </c>
      <c r="I75" s="8" t="n">
        <v>31283</v>
      </c>
    </row>
    <row r="76">
      <c r="A76" s="5" t="n">
        <v>75</v>
      </c>
      <c r="B76" s="6" t="inlineStr">
        <is>
          <t>GET</t>
        </is>
      </c>
      <c r="C76" s="7" t="inlineStr">
        <is>
          <t>/api/cadd/map-elements</t>
        </is>
      </c>
      <c r="D76" s="5" t="inlineStr">
        <is>
          <t>cadd</t>
        </is>
      </c>
      <c r="E76" s="5" t="inlineStr">
        <is>
          <t>ITS / infrastructure</t>
        </is>
      </c>
      <c r="F76" s="5" t="inlineStr">
        <is>
          <t>Public (GET)</t>
        </is>
      </c>
      <c r="G76" s="5" t="inlineStr">
        <is>
          <t>Get CADD elements for map visualization</t>
        </is>
      </c>
      <c r="H76" s="5" t="inlineStr">
        <is>
          <t>backend_proxy_server.js</t>
        </is>
      </c>
      <c r="I76" s="5" t="n">
        <v>30973</v>
      </c>
    </row>
    <row r="77">
      <c r="A77" s="8" t="n">
        <v>76</v>
      </c>
      <c r="B77" s="12" t="inlineStr">
        <is>
          <t>GET</t>
        </is>
      </c>
      <c r="C77" s="10" t="inlineStr">
        <is>
          <t>/api/cadd/models</t>
        </is>
      </c>
      <c r="D77" s="8" t="inlineStr">
        <is>
          <t>cadd</t>
        </is>
      </c>
      <c r="E77" s="8" t="inlineStr">
        <is>
          <t>ITS / infrastructure</t>
        </is>
      </c>
      <c r="F77" s="8" t="inlineStr">
        <is>
          <t>Public (GET)</t>
        </is>
      </c>
      <c r="G77" s="8" t="inlineStr">
        <is>
          <t>List all CADD models</t>
        </is>
      </c>
      <c r="H77" s="8" t="inlineStr">
        <is>
          <t>backend_proxy_server.js</t>
        </is>
      </c>
      <c r="I77" s="8" t="n">
        <v>30555</v>
      </c>
    </row>
    <row r="78">
      <c r="A78" s="5" t="n">
        <v>77</v>
      </c>
      <c r="B78" s="13" t="inlineStr">
        <is>
          <t>DELETE</t>
        </is>
      </c>
      <c r="C78" s="7" t="inlineStr">
        <is>
          <t>/api/cadd/models/:id</t>
        </is>
      </c>
      <c r="D78" s="5" t="inlineStr">
        <is>
          <t>cadd</t>
        </is>
      </c>
      <c r="E78" s="5" t="inlineStr">
        <is>
          <t>ITS / infrastructure</t>
        </is>
      </c>
      <c r="F78" s="5" t="inlineStr">
        <is>
          <t>Write - check handler</t>
        </is>
      </c>
      <c r="G78" s="5" t="inlineStr">
        <is>
          <t>Delete CADD model</t>
        </is>
      </c>
      <c r="H78" s="5" t="inlineStr">
        <is>
          <t>backend_proxy_server.js</t>
        </is>
      </c>
      <c r="I78" s="5" t="n">
        <v>30700</v>
      </c>
    </row>
    <row r="79">
      <c r="A79" s="8" t="n">
        <v>78</v>
      </c>
      <c r="B79" s="12" t="inlineStr">
        <is>
          <t>GET</t>
        </is>
      </c>
      <c r="C79" s="10" t="inlineStr">
        <is>
          <t>/api/cadd/models/:id</t>
        </is>
      </c>
      <c r="D79" s="8" t="inlineStr">
        <is>
          <t>cadd</t>
        </is>
      </c>
      <c r="E79" s="8" t="inlineStr">
        <is>
          <t>ITS / infrastructure</t>
        </is>
      </c>
      <c r="F79" s="8" t="inlineStr">
        <is>
          <t>Public (GET)</t>
        </is>
      </c>
      <c r="G79" s="8" t="inlineStr">
        <is>
          <t>Get CADD model details</t>
        </is>
      </c>
      <c r="H79" s="8" t="inlineStr">
        <is>
          <t>backend_proxy_server.js</t>
        </is>
      </c>
      <c r="I79" s="8" t="n">
        <v>30629</v>
      </c>
    </row>
    <row r="80">
      <c r="A80" s="5" t="n">
        <v>79</v>
      </c>
      <c r="B80" s="6" t="inlineStr">
        <is>
          <t>GET</t>
        </is>
      </c>
      <c r="C80" s="7" t="inlineStr">
        <is>
          <t>/api/cadd/models/:id/export/csv</t>
        </is>
      </c>
      <c r="D80" s="5" t="inlineStr">
        <is>
          <t>cadd</t>
        </is>
      </c>
      <c r="E80" s="5" t="inlineStr">
        <is>
          <t>ITS / infrastructure</t>
        </is>
      </c>
      <c r="F80" s="5" t="inlineStr">
        <is>
          <t>Public (GET)</t>
        </is>
      </c>
      <c r="G80" s="5" t="inlineStr">
        <is>
          <t>Export CADD model to CSV (for Shapefile import via ArcGIS)</t>
        </is>
      </c>
      <c r="H80" s="5" t="inlineStr">
        <is>
          <t>backend_proxy_server.js</t>
        </is>
      </c>
      <c r="I80" s="5" t="n">
        <v>30873</v>
      </c>
    </row>
    <row r="81">
      <c r="A81" s="8" t="n">
        <v>80</v>
      </c>
      <c r="B81" s="12" t="inlineStr">
        <is>
          <t>GET</t>
        </is>
      </c>
      <c r="C81" s="10" t="inlineStr">
        <is>
          <t>/api/cadd/models/:id/export/geojson</t>
        </is>
      </c>
      <c r="D81" s="8" t="inlineStr">
        <is>
          <t>cadd</t>
        </is>
      </c>
      <c r="E81" s="8" t="inlineStr">
        <is>
          <t>ITS / infrastructure</t>
        </is>
      </c>
      <c r="F81" s="8" t="inlineStr">
        <is>
          <t>Public (GET)</t>
        </is>
      </c>
      <c r="G81" s="8" t="inlineStr">
        <is>
          <t>Export CADD model to GeoJSON</t>
        </is>
      </c>
      <c r="H81" s="8" t="inlineStr">
        <is>
          <t>backend_proxy_server.js</t>
        </is>
      </c>
      <c r="I81" s="8" t="n">
        <v>30750</v>
      </c>
    </row>
    <row r="82">
      <c r="A82" s="5" t="n">
        <v>81</v>
      </c>
      <c r="B82" s="11" t="inlineStr">
        <is>
          <t>POST</t>
        </is>
      </c>
      <c r="C82" s="7" t="inlineStr">
        <is>
          <t>/api/cadd/upload</t>
        </is>
      </c>
      <c r="D82" s="5" t="inlineStr">
        <is>
          <t>cadd</t>
        </is>
      </c>
      <c r="E82" s="5" t="inlineStr">
        <is>
          <t>ITS / infrastructure</t>
        </is>
      </c>
      <c r="F82" s="5" t="inlineStr">
        <is>
          <t>Write - check handler</t>
        </is>
      </c>
      <c r="G82" s="5" t="inlineStr">
        <is>
          <t>Upload and process CADD/DXF file</t>
        </is>
      </c>
      <c r="H82" s="5" t="inlineStr">
        <is>
          <t>backend_proxy_server.js</t>
        </is>
      </c>
      <c r="I82" s="5" t="n">
        <v>31095</v>
      </c>
    </row>
    <row r="83">
      <c r="A83" s="8" t="n">
        <v>82</v>
      </c>
      <c r="B83" s="15" t="inlineStr">
        <is>
          <t>DELETE</t>
        </is>
      </c>
      <c r="C83" s="10" t="inlineStr">
        <is>
          <t>/api/calendar/artifacts/:id</t>
        </is>
      </c>
      <c r="D83" s="8" t="inlineStr">
        <is>
          <t>calendar</t>
        </is>
      </c>
      <c r="E83" s="8" t="inlineStr">
        <is>
          <t>Collaboration</t>
        </is>
      </c>
      <c r="F83" s="8" t="inlineStr">
        <is>
          <t>requireAdmin</t>
        </is>
      </c>
      <c r="G83" s="8" t="inlineStr">
        <is>
          <t>Delete artifact (admin only)</t>
        </is>
      </c>
      <c r="H83" s="8" t="inlineStr">
        <is>
          <t>backend_proxy_server.js</t>
        </is>
      </c>
      <c r="I83" s="8" t="n">
        <v>38075</v>
      </c>
    </row>
    <row r="84">
      <c r="A84" s="5" t="n">
        <v>83</v>
      </c>
      <c r="B84" s="6" t="inlineStr">
        <is>
          <t>GET</t>
        </is>
      </c>
      <c r="C84" s="7" t="inlineStr">
        <is>
          <t>/api/calendar/events</t>
        </is>
      </c>
      <c r="D84" s="5" t="inlineStr">
        <is>
          <t>calendar</t>
        </is>
      </c>
      <c r="E84" s="5" t="inlineStr">
        <is>
          <t>Collaboration</t>
        </is>
      </c>
      <c r="F84" s="5" t="inlineStr">
        <is>
          <t>Public (GET)</t>
        </is>
      </c>
      <c r="G84" s="5" t="inlineStr">
        <is>
          <t>Get all upcoming events (public endpoint)</t>
        </is>
      </c>
      <c r="H84" s="5" t="inlineStr">
        <is>
          <t>backend_proxy_server.js</t>
        </is>
      </c>
      <c r="I84" s="5" t="n">
        <v>37789</v>
      </c>
    </row>
    <row r="85">
      <c r="A85" s="8" t="n">
        <v>84</v>
      </c>
      <c r="B85" s="9" t="inlineStr">
        <is>
          <t>POST</t>
        </is>
      </c>
      <c r="C85" s="10" t="inlineStr">
        <is>
          <t>/api/calendar/events</t>
        </is>
      </c>
      <c r="D85" s="8" t="inlineStr">
        <is>
          <t>calendar</t>
        </is>
      </c>
      <c r="E85" s="8" t="inlineStr">
        <is>
          <t>Collaboration</t>
        </is>
      </c>
      <c r="F85" s="8" t="inlineStr">
        <is>
          <t>requireAdmin</t>
        </is>
      </c>
      <c r="G85" s="8" t="inlineStr">
        <is>
          <t>Create new event (admin only)</t>
        </is>
      </c>
      <c r="H85" s="8" t="inlineStr">
        <is>
          <t>backend_proxy_server.js</t>
        </is>
      </c>
      <c r="I85" s="8" t="n">
        <v>37902</v>
      </c>
    </row>
    <row r="86">
      <c r="A86" s="5" t="n">
        <v>85</v>
      </c>
      <c r="B86" s="13" t="inlineStr">
        <is>
          <t>DELETE</t>
        </is>
      </c>
      <c r="C86" s="7" t="inlineStr">
        <is>
          <t>/api/calendar/events/:id</t>
        </is>
      </c>
      <c r="D86" s="5" t="inlineStr">
        <is>
          <t>calendar</t>
        </is>
      </c>
      <c r="E86" s="5" t="inlineStr">
        <is>
          <t>Collaboration</t>
        </is>
      </c>
      <c r="F86" s="5" t="inlineStr">
        <is>
          <t>requireAdmin</t>
        </is>
      </c>
      <c r="G86" s="5" t="inlineStr">
        <is>
          <t>Delete event (admin only)</t>
        </is>
      </c>
      <c r="H86" s="5" t="inlineStr">
        <is>
          <t>backend_proxy_server.js</t>
        </is>
      </c>
      <c r="I86" s="5" t="n">
        <v>37996</v>
      </c>
    </row>
    <row r="87">
      <c r="A87" s="8" t="n">
        <v>86</v>
      </c>
      <c r="B87" s="12" t="inlineStr">
        <is>
          <t>GET</t>
        </is>
      </c>
      <c r="C87" s="10" t="inlineStr">
        <is>
          <t>/api/calendar/events/:id</t>
        </is>
      </c>
      <c r="D87" s="8" t="inlineStr">
        <is>
          <t>calendar</t>
        </is>
      </c>
      <c r="E87" s="8" t="inlineStr">
        <is>
          <t>Collaboration</t>
        </is>
      </c>
      <c r="F87" s="8" t="inlineStr">
        <is>
          <t>Public (GET)</t>
        </is>
      </c>
      <c r="G87" s="8" t="inlineStr">
        <is>
          <t>Get event details with RSVPs, artifacts, and action items</t>
        </is>
      </c>
      <c r="H87" s="8" t="inlineStr">
        <is>
          <t>backend_proxy_server.js</t>
        </is>
      </c>
      <c r="I87" s="8" t="n">
        <v>37810</v>
      </c>
    </row>
    <row r="88">
      <c r="A88" s="5" t="n">
        <v>87</v>
      </c>
      <c r="B88" s="16" t="inlineStr">
        <is>
          <t>PUT</t>
        </is>
      </c>
      <c r="C88" s="7" t="inlineStr">
        <is>
          <t>/api/calendar/events/:id</t>
        </is>
      </c>
      <c r="D88" s="5" t="inlineStr">
        <is>
          <t>calendar</t>
        </is>
      </c>
      <c r="E88" s="5" t="inlineStr">
        <is>
          <t>Collaboration</t>
        </is>
      </c>
      <c r="F88" s="5" t="inlineStr">
        <is>
          <t>requireAdmin</t>
        </is>
      </c>
      <c r="G88" s="5" t="inlineStr">
        <is>
          <t>Update event (admin only) - useful for adding meeting links later</t>
        </is>
      </c>
      <c r="H88" s="5" t="inlineStr">
        <is>
          <t>backend_proxy_server.js</t>
        </is>
      </c>
      <c r="I88" s="5" t="n">
        <v>37944</v>
      </c>
    </row>
    <row r="89">
      <c r="A89" s="8" t="n">
        <v>88</v>
      </c>
      <c r="B89" s="9" t="inlineStr">
        <is>
          <t>POST</t>
        </is>
      </c>
      <c r="C89" s="10" t="inlineStr">
        <is>
          <t>/api/calendar/events/:id/analyze-minutes</t>
        </is>
      </c>
      <c r="D89" s="8" t="inlineStr">
        <is>
          <t>calendar</t>
        </is>
      </c>
      <c r="E89" s="8" t="inlineStr">
        <is>
          <t>Collaboration</t>
        </is>
      </c>
      <c r="F89" s="8" t="inlineStr">
        <is>
          <t>requireAdmin</t>
        </is>
      </c>
      <c r="G89" s="8" t="inlineStr">
        <is>
          <t>Analyze meeting minutes with AI (admin only)</t>
        </is>
      </c>
      <c r="H89" s="8" t="inlineStr">
        <is>
          <t>backend_proxy_server.js</t>
        </is>
      </c>
      <c r="I89" s="8" t="n">
        <v>38099</v>
      </c>
    </row>
    <row r="90">
      <c r="A90" s="5" t="n">
        <v>89</v>
      </c>
      <c r="B90" s="6" t="inlineStr">
        <is>
          <t>GET</t>
        </is>
      </c>
      <c r="C90" s="7" t="inlineStr">
        <is>
          <t>/api/calendar/events/:id/artifacts</t>
        </is>
      </c>
      <c r="D90" s="5" t="inlineStr">
        <is>
          <t>calendar</t>
        </is>
      </c>
      <c r="E90" s="5" t="inlineStr">
        <is>
          <t>Collaboration</t>
        </is>
      </c>
      <c r="F90" s="5" t="inlineStr">
        <is>
          <t>Public (GET)</t>
        </is>
      </c>
      <c r="G90" s="5" t="inlineStr">
        <is>
          <t>Get artifacts for an event</t>
        </is>
      </c>
      <c r="H90" s="5" t="inlineStr">
        <is>
          <t>backend_proxy_server.js</t>
        </is>
      </c>
      <c r="I90" s="5" t="n">
        <v>38020</v>
      </c>
    </row>
    <row r="91">
      <c r="A91" s="8" t="n">
        <v>90</v>
      </c>
      <c r="B91" s="9" t="inlineStr">
        <is>
          <t>POST</t>
        </is>
      </c>
      <c r="C91" s="10" t="inlineStr">
        <is>
          <t>/api/calendar/events/:id/artifacts</t>
        </is>
      </c>
      <c r="D91" s="8" t="inlineStr">
        <is>
          <t>calendar</t>
        </is>
      </c>
      <c r="E91" s="8" t="inlineStr">
        <is>
          <t>Collaboration</t>
        </is>
      </c>
      <c r="F91" s="8" t="inlineStr">
        <is>
          <t>requireAdmin</t>
        </is>
      </c>
      <c r="G91" s="8" t="inlineStr">
        <is>
          <t>Add artifact to event (admin only)</t>
        </is>
      </c>
      <c r="H91" s="8" t="inlineStr">
        <is>
          <t>backend_proxy_server.js</t>
        </is>
      </c>
      <c r="I91" s="8" t="n">
        <v>38042</v>
      </c>
    </row>
    <row r="92">
      <c r="A92" s="5" t="n">
        <v>91</v>
      </c>
      <c r="B92" s="6" t="inlineStr">
        <is>
          <t>GET</t>
        </is>
      </c>
      <c r="C92" s="7" t="inlineStr">
        <is>
          <t>/api/calendar/events/:id/download.ics</t>
        </is>
      </c>
      <c r="D92" s="5" t="inlineStr">
        <is>
          <t>calendar</t>
        </is>
      </c>
      <c r="E92" s="5" t="inlineStr">
        <is>
          <t>Collaboration</t>
        </is>
      </c>
      <c r="F92" s="5" t="inlineStr">
        <is>
          <t>Public (GET)</t>
        </is>
      </c>
      <c r="G92" s="5" t="inlineStr">
        <is>
          <t>Download single event as ICS file</t>
        </is>
      </c>
      <c r="H92" s="5" t="inlineStr">
        <is>
          <t>backend_proxy_server.js</t>
        </is>
      </c>
      <c r="I92" s="5" t="n">
        <v>37834</v>
      </c>
    </row>
    <row r="93">
      <c r="A93" s="8" t="n">
        <v>92</v>
      </c>
      <c r="B93" s="9" t="inlineStr">
        <is>
          <t>POST</t>
        </is>
      </c>
      <c r="C93" s="10" t="inlineStr">
        <is>
          <t>/api/calendar/events/:id/rsvp</t>
        </is>
      </c>
      <c r="D93" s="8" t="inlineStr">
        <is>
          <t>calendar</t>
        </is>
      </c>
      <c r="E93" s="8" t="inlineStr">
        <is>
          <t>Collaboration</t>
        </is>
      </c>
      <c r="F93" s="8" t="inlineStr">
        <is>
          <t>Write - check handler</t>
        </is>
      </c>
      <c r="G93" s="8" t="inlineStr">
        <is>
          <t>Submit or update RSVP (authenticated users only)</t>
        </is>
      </c>
      <c r="H93" s="8" t="inlineStr">
        <is>
          <t>backend_proxy_server.js</t>
        </is>
      </c>
      <c r="I93" s="8" t="n">
        <v>37873</v>
      </c>
    </row>
    <row r="94">
      <c r="A94" s="5" t="n">
        <v>93</v>
      </c>
      <c r="B94" s="6" t="inlineStr">
        <is>
          <t>GET</t>
        </is>
      </c>
      <c r="C94" s="7" t="inlineStr">
        <is>
          <t>/api/calendar/i80-coalition.ics</t>
        </is>
      </c>
      <c r="D94" s="5" t="inlineStr">
        <is>
          <t>calendar</t>
        </is>
      </c>
      <c r="E94" s="5" t="inlineStr">
        <is>
          <t>Collaboration</t>
        </is>
      </c>
      <c r="F94" s="5" t="inlineStr">
        <is>
          <t>Public (GET)</t>
        </is>
      </c>
      <c r="G94" s="5" t="inlineStr">
        <is>
          <t>Calendar subscription feed for I-80 Coalition (all upcoming events)</t>
        </is>
      </c>
      <c r="H94" s="5" t="inlineStr">
        <is>
          <t>backend_proxy_server.js</t>
        </is>
      </c>
      <c r="I94" s="5" t="n">
        <v>37855</v>
      </c>
    </row>
    <row r="95">
      <c r="A95" s="8" t="n">
        <v>94</v>
      </c>
      <c r="B95" s="12" t="inlineStr">
        <is>
          <t>GET</t>
        </is>
      </c>
      <c r="C95" s="10" t="inlineStr">
        <is>
          <t>/api/calendar/progress</t>
        </is>
      </c>
      <c r="D95" s="8" t="inlineStr">
        <is>
          <t>calendar</t>
        </is>
      </c>
      <c r="E95" s="8" t="inlineStr">
        <is>
          <t>Collaboration</t>
        </is>
      </c>
      <c r="F95" s="8" t="inlineStr">
        <is>
          <t>Public (GET)</t>
        </is>
      </c>
      <c r="G95" s="8" t="inlineStr">
        <is>
          <t>GET all progress items (tasks, goals, achievements)</t>
        </is>
      </c>
      <c r="H95" s="8" t="inlineStr">
        <is>
          <t>backend_proxy_server.js</t>
        </is>
      </c>
      <c r="I95" s="8" t="n">
        <v>38202</v>
      </c>
    </row>
    <row r="96">
      <c r="A96" s="5" t="n">
        <v>95</v>
      </c>
      <c r="B96" s="11" t="inlineStr">
        <is>
          <t>POST</t>
        </is>
      </c>
      <c r="C96" s="7" t="inlineStr">
        <is>
          <t>/api/calendar/progress</t>
        </is>
      </c>
      <c r="D96" s="5" t="inlineStr">
        <is>
          <t>calendar</t>
        </is>
      </c>
      <c r="E96" s="5" t="inlineStr">
        <is>
          <t>Collaboration</t>
        </is>
      </c>
      <c r="F96" s="5" t="inlineStr">
        <is>
          <t>requireAdmin</t>
        </is>
      </c>
      <c r="G96" s="5" t="inlineStr">
        <is>
          <t>POST to add a single progress item (admin)</t>
        </is>
      </c>
      <c r="H96" s="5" t="inlineStr">
        <is>
          <t>backend_proxy_server.js</t>
        </is>
      </c>
      <c r="I96" s="5" t="n">
        <v>38230</v>
      </c>
    </row>
    <row r="97">
      <c r="A97" s="8" t="n">
        <v>96</v>
      </c>
      <c r="B97" s="15" t="inlineStr">
        <is>
          <t>DELETE</t>
        </is>
      </c>
      <c r="C97" s="10" t="inlineStr">
        <is>
          <t>/api/calendar/progress/:id</t>
        </is>
      </c>
      <c r="D97" s="8" t="inlineStr">
        <is>
          <t>calendar</t>
        </is>
      </c>
      <c r="E97" s="8" t="inlineStr">
        <is>
          <t>Collaboration</t>
        </is>
      </c>
      <c r="F97" s="8" t="inlineStr">
        <is>
          <t>requireAdmin</t>
        </is>
      </c>
      <c r="G97" s="8" t="inlineStr">
        <is>
          <t>DELETE a progress item (admin)</t>
        </is>
      </c>
      <c r="H97" s="8" t="inlineStr">
        <is>
          <t>backend_proxy_server.js</t>
        </is>
      </c>
      <c r="I97" s="8" t="n">
        <v>38263</v>
      </c>
    </row>
    <row r="98">
      <c r="A98" s="5" t="n">
        <v>97</v>
      </c>
      <c r="B98" s="11" t="inlineStr">
        <is>
          <t>POST</t>
        </is>
      </c>
      <c r="C98" s="7" t="inlineStr">
        <is>
          <t>/api/calendar/progress/upload-minutes</t>
        </is>
      </c>
      <c r="D98" s="5" t="inlineStr">
        <is>
          <t>calendar</t>
        </is>
      </c>
      <c r="E98" s="5" t="inlineStr">
        <is>
          <t>Collaboration</t>
        </is>
      </c>
      <c r="F98" s="5" t="inlineStr">
        <is>
          <t>requireAdmin</t>
        </is>
      </c>
      <c r="G98" s="5" t="inlineStr">
        <is>
          <t>POST to upload meeting minutes text and extract items (admin) Simple extraction: parses lines starting with ACTION:, GOAL:, or ACHIEVEMENT:</t>
        </is>
      </c>
      <c r="H98" s="5" t="inlineStr">
        <is>
          <t>backend_proxy_server.js</t>
        </is>
      </c>
      <c r="I98" s="5" t="n">
        <v>38280</v>
      </c>
    </row>
    <row r="99">
      <c r="A99" s="8" t="n">
        <v>98</v>
      </c>
      <c r="B99" s="12" t="inlineStr">
        <is>
          <t>GET</t>
        </is>
      </c>
      <c r="C99" s="10" t="inlineStr">
        <is>
          <t>/api/cameras/check</t>
        </is>
      </c>
      <c r="D99" s="8" t="inlineStr">
        <is>
          <t>cameras</t>
        </is>
      </c>
      <c r="E99" s="8" t="inlineStr">
        <is>
          <t>Validation</t>
        </is>
      </c>
      <c r="F99" s="8" t="inlineStr">
        <is>
          <t>Public (GET)</t>
        </is>
      </c>
      <c r="G99" s="8" t="inlineStr">
        <is>
          <t>Camera-based validation (visual third validator). On-demand ONLY, per event: /api/cameras/check?eventId=&lt;id&gt;        → nearest camera + snapshot URL (free, no vision) /api/cameras/check?eventId=&lt;id&gt;&amp;detect=1 → also run ONE cached vision inference (needs ANTHROPIC_API_KEY; $0 and skipped without it) N</t>
        </is>
      </c>
      <c r="H99" s="8" t="inlineStr">
        <is>
          <t>backend_proxy_server.js</t>
        </is>
      </c>
      <c r="I99" s="8" t="n">
        <v>6287</v>
      </c>
    </row>
    <row r="100">
      <c r="A100" s="5" t="n">
        <v>99</v>
      </c>
      <c r="B100" s="6" t="inlineStr">
        <is>
          <t>GET</t>
        </is>
      </c>
      <c r="C100" s="7" t="inlineStr">
        <is>
          <t>/api/cameras/scan</t>
        </is>
      </c>
      <c r="D100" s="5" t="inlineStr">
        <is>
          <t>cameras</t>
        </is>
      </c>
      <c r="E100" s="5" t="inlineStr">
        <is>
          <t>Validation</t>
        </is>
      </c>
      <c r="F100" s="5" t="inlineStr">
        <is>
          <t>Public (GET)</t>
        </is>
      </c>
      <c r="G100" s="5" t="inlineStr">
        <is>
          <t>Manual/cron trigger for the camera scan (same policy as the opt-in refresh scan): checks WZDx-active zones near start (+ one 30-min follow-up), &lt;=2 per closure via ledger. Safe to call as often as you like — the ledger makes cost independent of call frequency.</t>
        </is>
      </c>
      <c r="H100" s="5" t="inlineStr">
        <is>
          <t>backend_proxy_server.js</t>
        </is>
      </c>
      <c r="I100" s="5" t="n">
        <v>6391</v>
      </c>
    </row>
    <row r="101">
      <c r="A101" s="8" t="n">
        <v>100</v>
      </c>
      <c r="B101" s="12" t="inlineStr">
        <is>
          <t>GET</t>
        </is>
      </c>
      <c r="C101" s="10" t="inlineStr">
        <is>
          <t>/api/cameras/validate-active</t>
        </is>
      </c>
      <c r="D101" s="8" t="inlineStr">
        <is>
          <t>cameras</t>
        </is>
      </c>
      <c r="E101" s="8" t="inlineStr">
        <is>
          <t>Validation</t>
        </is>
      </c>
      <c r="F101" s="8" t="inlineStr">
        <is>
          <t>Public (GET)</t>
        </is>
      </c>
      <c r="G101" s="8" t="inlineStr">
        <is>
          <t>Bounded, on-demand camera validation of CURRENTLY-ACTIVE work zones (per WZDx dates). For zones scheduled active now that have a nearby camera, run ONE cached vision check each and elevate the ones the camera actually sees. Cost-capped by `limit` (default 10, max 40), gated on a vision key ($0 witho</t>
        </is>
      </c>
      <c r="H101" s="8" t="inlineStr">
        <is>
          <t>backend_proxy_server.js</t>
        </is>
      </c>
      <c r="I101" s="8" t="n">
        <v>6333</v>
      </c>
    </row>
    <row r="102">
      <c r="A102" s="5" t="n">
        <v>101</v>
      </c>
      <c r="B102" s="11" t="inlineStr">
        <is>
          <t>POST</t>
        </is>
      </c>
      <c r="C102" s="7" t="inlineStr">
        <is>
          <t>/api/chat</t>
        </is>
      </c>
      <c r="D102" s="5" t="inlineStr">
        <is>
          <t>chat</t>
        </is>
      </c>
      <c r="E102" s="5" t="inlineStr">
        <is>
          <t>Platform / AI</t>
        </is>
      </c>
      <c r="F102" s="5" t="inlineStr">
        <is>
          <t>Write - check handler</t>
        </is>
      </c>
      <c r="G102" s="5" t="inlineStr"/>
      <c r="H102" s="5" t="inlineStr">
        <is>
          <t>backend_proxy_server.js</t>
        </is>
      </c>
      <c r="I102" s="5" t="n">
        <v>17962</v>
      </c>
    </row>
    <row r="103">
      <c r="A103" s="8" t="n">
        <v>102</v>
      </c>
      <c r="B103" s="15" t="inlineStr">
        <is>
          <t>DELETE</t>
        </is>
      </c>
      <c r="C103" s="10" t="inlineStr">
        <is>
          <t>/api/chat/history</t>
        </is>
      </c>
      <c r="D103" s="8" t="inlineStr">
        <is>
          <t>chat</t>
        </is>
      </c>
      <c r="E103" s="8" t="inlineStr">
        <is>
          <t>Platform / AI</t>
        </is>
      </c>
      <c r="F103" s="8" t="inlineStr">
        <is>
          <t>Write - check handler</t>
        </is>
      </c>
      <c r="G103" s="8" t="inlineStr">
        <is>
          <t>Clear chat history for current user</t>
        </is>
      </c>
      <c r="H103" s="8" t="inlineStr">
        <is>
          <t>backend_proxy_server.js</t>
        </is>
      </c>
      <c r="I103" s="8" t="n">
        <v>18202</v>
      </c>
    </row>
    <row r="104">
      <c r="A104" s="5" t="n">
        <v>103</v>
      </c>
      <c r="B104" s="6" t="inlineStr">
        <is>
          <t>GET</t>
        </is>
      </c>
      <c r="C104" s="7" t="inlineStr">
        <is>
          <t>/api/chat/history</t>
        </is>
      </c>
      <c r="D104" s="5" t="inlineStr">
        <is>
          <t>chat</t>
        </is>
      </c>
      <c r="E104" s="5" t="inlineStr">
        <is>
          <t>Platform / AI</t>
        </is>
      </c>
      <c r="F104" s="5" t="inlineStr">
        <is>
          <t>Public (GET)</t>
        </is>
      </c>
      <c r="G104" s="5" t="inlineStr">
        <is>
          <t>Get chat history for current user</t>
        </is>
      </c>
      <c r="H104" s="5" t="inlineStr">
        <is>
          <t>backend_proxy_server.js</t>
        </is>
      </c>
      <c r="I104" s="5" t="n">
        <v>18175</v>
      </c>
    </row>
    <row r="105">
      <c r="A105" s="8" t="n">
        <v>104</v>
      </c>
      <c r="B105" s="12" t="inlineStr">
        <is>
          <t>GET</t>
        </is>
      </c>
      <c r="C105" s="10" t="inlineStr">
        <is>
          <t>/api/chatgpt/detour-alerts</t>
        </is>
      </c>
      <c r="D105" s="8" t="inlineStr">
        <is>
          <t>chatgpt</t>
        </is>
      </c>
      <c r="E105" s="8" t="inlineStr">
        <is>
          <t>Platform / AI</t>
        </is>
      </c>
      <c r="F105" s="8" t="inlineStr">
        <is>
          <t>API key</t>
        </is>
      </c>
      <c r="G105" s="8" t="inlineStr">
        <is>
          <t>Get detour alerts (read-only for ChatGPT)</t>
        </is>
      </c>
      <c r="H105" s="8" t="inlineStr">
        <is>
          <t>backend_proxy_server.js</t>
        </is>
      </c>
      <c r="I105" s="8" t="n">
        <v>38704</v>
      </c>
    </row>
    <row r="106">
      <c r="A106" s="5" t="n">
        <v>105</v>
      </c>
      <c r="B106" s="6" t="inlineStr">
        <is>
          <t>GET</t>
        </is>
      </c>
      <c r="C106" s="7" t="inlineStr">
        <is>
          <t>/api/chatgpt/docs</t>
        </is>
      </c>
      <c r="D106" s="5" t="inlineStr">
        <is>
          <t>chatgpt</t>
        </is>
      </c>
      <c r="E106" s="5" t="inlineStr">
        <is>
          <t>Platform / AI</t>
        </is>
      </c>
      <c r="F106" s="5" t="inlineStr">
        <is>
          <t>API key</t>
        </is>
      </c>
      <c r="G106" s="5" t="inlineStr">
        <is>
          <t>API documentation endpoint</t>
        </is>
      </c>
      <c r="H106" s="5" t="inlineStr">
        <is>
          <t>backend_proxy_server.js</t>
        </is>
      </c>
      <c r="I106" s="5" t="n">
        <v>38720</v>
      </c>
    </row>
    <row r="107">
      <c r="A107" s="8" t="n">
        <v>106</v>
      </c>
      <c r="B107" s="12" t="inlineStr">
        <is>
          <t>GET</t>
        </is>
      </c>
      <c r="C107" s="10" t="inlineStr">
        <is>
          <t>/api/chatgpt/events</t>
        </is>
      </c>
      <c r="D107" s="8" t="inlineStr">
        <is>
          <t>chatgpt</t>
        </is>
      </c>
      <c r="E107" s="8" t="inlineStr">
        <is>
          <t>Platform / AI</t>
        </is>
      </c>
      <c r="F107" s="8" t="inlineStr">
        <is>
          <t>API key</t>
        </is>
      </c>
      <c r="G107" s="8" t="inlineStr">
        <is>
          <t>Get all events (read-only for ChatGPT)</t>
        </is>
      </c>
      <c r="H107" s="8" t="inlineStr">
        <is>
          <t>backend_proxy_server.js</t>
        </is>
      </c>
      <c r="I107" s="8" t="n">
        <v>38372</v>
      </c>
    </row>
    <row r="108">
      <c r="A108" s="5" t="n">
        <v>107</v>
      </c>
      <c r="B108" s="6" t="inlineStr">
        <is>
          <t>GET</t>
        </is>
      </c>
      <c r="C108" s="7" t="inlineStr">
        <is>
          <t>/api/chatgpt/events/:state</t>
        </is>
      </c>
      <c r="D108" s="5" t="inlineStr">
        <is>
          <t>chatgpt</t>
        </is>
      </c>
      <c r="E108" s="5" t="inlineStr">
        <is>
          <t>Platform / AI</t>
        </is>
      </c>
      <c r="F108" s="5" t="inlineStr">
        <is>
          <t>API key</t>
        </is>
      </c>
      <c r="G108" s="5" t="inlineStr">
        <is>
          <t>Get events by state (read-only for ChatGPT)</t>
        </is>
      </c>
      <c r="H108" s="5" t="inlineStr">
        <is>
          <t>backend_proxy_server.js</t>
        </is>
      </c>
      <c r="I108" s="5" t="n">
        <v>38442</v>
      </c>
    </row>
    <row r="109">
      <c r="A109" s="8" t="n">
        <v>108</v>
      </c>
      <c r="B109" s="12" t="inlineStr">
        <is>
          <t>GET</t>
        </is>
      </c>
      <c r="C109" s="10" t="inlineStr">
        <is>
          <t>/api/chatgpt/events/id/:eventId</t>
        </is>
      </c>
      <c r="D109" s="8" t="inlineStr">
        <is>
          <t>chatgpt</t>
        </is>
      </c>
      <c r="E109" s="8" t="inlineStr">
        <is>
          <t>Platform / AI</t>
        </is>
      </c>
      <c r="F109" s="8" t="inlineStr">
        <is>
          <t>API key</t>
        </is>
      </c>
      <c r="G109" s="8" t="inlineStr">
        <is>
          <t>Get single event by ID</t>
        </is>
      </c>
      <c r="H109" s="8" t="inlineStr">
        <is>
          <t>backend_proxy_server.js</t>
        </is>
      </c>
      <c r="I109" s="8" t="n">
        <v>38491</v>
      </c>
    </row>
    <row r="110">
      <c r="A110" s="5" t="n">
        <v>109</v>
      </c>
      <c r="B110" s="11" t="inlineStr">
        <is>
          <t>POST</t>
        </is>
      </c>
      <c r="C110" s="7" t="inlineStr">
        <is>
          <t>/api/chatgpt/generate-key</t>
        </is>
      </c>
      <c r="D110" s="5" t="inlineStr">
        <is>
          <t>chatgpt</t>
        </is>
      </c>
      <c r="E110" s="5" t="inlineStr">
        <is>
          <t>Platform / AI</t>
        </is>
      </c>
      <c r="F110" s="5" t="inlineStr">
        <is>
          <t>requireAdmin</t>
        </is>
      </c>
      <c r="G110" s="5" t="inlineStr">
        <is>
          <t>Generate API key for ChatGPT (admin only)</t>
        </is>
      </c>
      <c r="H110" s="5" t="inlineStr">
        <is>
          <t>backend_proxy_server.js</t>
        </is>
      </c>
      <c r="I110" s="5" t="n">
        <v>38354</v>
      </c>
    </row>
    <row r="111">
      <c r="A111" s="8" t="n">
        <v>110</v>
      </c>
      <c r="B111" s="12" t="inlineStr">
        <is>
          <t>GET</t>
        </is>
      </c>
      <c r="C111" s="10" t="inlineStr">
        <is>
          <t>/api/chatgpt/interchanges</t>
        </is>
      </c>
      <c r="D111" s="8" t="inlineStr">
        <is>
          <t>chatgpt</t>
        </is>
      </c>
      <c r="E111" s="8" t="inlineStr">
        <is>
          <t>Platform / AI</t>
        </is>
      </c>
      <c r="F111" s="8" t="inlineStr">
        <is>
          <t>API key</t>
        </is>
      </c>
      <c r="G111" s="8" t="inlineStr">
        <is>
          <t>Get interchanges (read-only for ChatGPT)</t>
        </is>
      </c>
      <c r="H111" s="8" t="inlineStr">
        <is>
          <t>backend_proxy_server.js</t>
        </is>
      </c>
      <c r="I111" s="8" t="n">
        <v>38688</v>
      </c>
    </row>
    <row r="112">
      <c r="A112" s="5" t="n">
        <v>111</v>
      </c>
      <c r="B112" s="6" t="inlineStr">
        <is>
          <t>GET</t>
        </is>
      </c>
      <c r="C112" s="7" t="inlineStr">
        <is>
          <t>/api/chatgpt/messages</t>
        </is>
      </c>
      <c r="D112" s="5" t="inlineStr">
        <is>
          <t>chatgpt</t>
        </is>
      </c>
      <c r="E112" s="5" t="inlineStr">
        <is>
          <t>Platform / AI</t>
        </is>
      </c>
      <c r="F112" s="5" t="inlineStr">
        <is>
          <t>API key</t>
        </is>
      </c>
      <c r="G112" s="5" t="inlineStr">
        <is>
          <t>Get messages/communications (read-only for ChatGPT)</t>
        </is>
      </c>
      <c r="H112" s="5" t="inlineStr">
        <is>
          <t>backend_proxy_server.js</t>
        </is>
      </c>
      <c r="I112" s="5" t="n">
        <v>38615</v>
      </c>
    </row>
    <row r="113">
      <c r="A113" s="8" t="n">
        <v>112</v>
      </c>
      <c r="B113" s="12" t="inlineStr">
        <is>
          <t>GET</t>
        </is>
      </c>
      <c r="C113" s="10" t="inlineStr">
        <is>
          <t>/api/chatgpt/messages/event/:eventId</t>
        </is>
      </c>
      <c r="D113" s="8" t="inlineStr">
        <is>
          <t>chatgpt</t>
        </is>
      </c>
      <c r="E113" s="8" t="inlineStr">
        <is>
          <t>Platform / AI</t>
        </is>
      </c>
      <c r="F113" s="8" t="inlineStr">
        <is>
          <t>API key</t>
        </is>
      </c>
      <c r="G113" s="8" t="inlineStr">
        <is>
          <t>Get event comments for a specific event (read-only for ChatGPT)</t>
        </is>
      </c>
      <c r="H113" s="8" t="inlineStr">
        <is>
          <t>backend_proxy_server.js</t>
        </is>
      </c>
      <c r="I113" s="8" t="n">
        <v>38644</v>
      </c>
    </row>
    <row r="114">
      <c r="A114" s="5" t="n">
        <v>113</v>
      </c>
      <c r="B114" s="6" t="inlineStr">
        <is>
          <t>GET</t>
        </is>
      </c>
      <c r="C114" s="7" t="inlineStr">
        <is>
          <t>/api/chatgpt/parking/availability</t>
        </is>
      </c>
      <c r="D114" s="5" t="inlineStr">
        <is>
          <t>chatgpt</t>
        </is>
      </c>
      <c r="E114" s="5" t="inlineStr">
        <is>
          <t>Platform / AI</t>
        </is>
      </c>
      <c r="F114" s="5" t="inlineStr">
        <is>
          <t>API key</t>
        </is>
      </c>
      <c r="G114" s="5" t="inlineStr">
        <is>
          <t>Get parking availability (read-only for ChatGPT)</t>
        </is>
      </c>
      <c r="H114" s="5" t="inlineStr">
        <is>
          <t>backend_proxy_server.js</t>
        </is>
      </c>
      <c r="I114" s="5" t="n">
        <v>38563</v>
      </c>
    </row>
    <row r="115">
      <c r="A115" s="8" t="n">
        <v>114</v>
      </c>
      <c r="B115" s="12" t="inlineStr">
        <is>
          <t>GET</t>
        </is>
      </c>
      <c r="C115" s="10" t="inlineStr">
        <is>
          <t>/api/chatgpt/parking/facilities</t>
        </is>
      </c>
      <c r="D115" s="8" t="inlineStr">
        <is>
          <t>chatgpt</t>
        </is>
      </c>
      <c r="E115" s="8" t="inlineStr">
        <is>
          <t>Platform / AI</t>
        </is>
      </c>
      <c r="F115" s="8" t="inlineStr">
        <is>
          <t>API key</t>
        </is>
      </c>
      <c r="G115" s="8" t="inlineStr">
        <is>
          <t>Get parking facilities (read-only for ChatGPT)</t>
        </is>
      </c>
      <c r="H115" s="8" t="inlineStr">
        <is>
          <t>backend_proxy_server.js</t>
        </is>
      </c>
      <c r="I115" s="8" t="n">
        <v>38546</v>
      </c>
    </row>
    <row r="116">
      <c r="A116" s="5" t="n">
        <v>115</v>
      </c>
      <c r="B116" s="6" t="inlineStr">
        <is>
          <t>GET</t>
        </is>
      </c>
      <c r="C116" s="7" t="inlineStr">
        <is>
          <t>/api/chatgpt/parking/history/:facilityId</t>
        </is>
      </c>
      <c r="D116" s="5" t="inlineStr">
        <is>
          <t>chatgpt</t>
        </is>
      </c>
      <c r="E116" s="5" t="inlineStr">
        <is>
          <t>Platform / AI</t>
        </is>
      </c>
      <c r="F116" s="5" t="inlineStr">
        <is>
          <t>API key</t>
        </is>
      </c>
      <c r="G116" s="5" t="inlineStr">
        <is>
          <t>Get parking history (read-only for ChatGPT)</t>
        </is>
      </c>
      <c r="H116" s="5" t="inlineStr">
        <is>
          <t>backend_proxy_server.js</t>
        </is>
      </c>
      <c r="I116" s="5" t="n">
        <v>38579</v>
      </c>
    </row>
    <row r="117">
      <c r="A117" s="8" t="n">
        <v>116</v>
      </c>
      <c r="B117" s="12" t="inlineStr">
        <is>
          <t>GET</t>
        </is>
      </c>
      <c r="C117" s="10" t="inlineStr">
        <is>
          <t>/api/chatgpt/states</t>
        </is>
      </c>
      <c r="D117" s="8" t="inlineStr">
        <is>
          <t>chatgpt</t>
        </is>
      </c>
      <c r="E117" s="8" t="inlineStr">
        <is>
          <t>Platform / AI</t>
        </is>
      </c>
      <c r="F117" s="8" t="inlineStr">
        <is>
          <t>API key</t>
        </is>
      </c>
      <c r="G117" s="8" t="inlineStr">
        <is>
          <t>Get states list (read-only for ChatGPT)</t>
        </is>
      </c>
      <c r="H117" s="8" t="inlineStr">
        <is>
          <t>backend_proxy_server.js</t>
        </is>
      </c>
      <c r="I117" s="8" t="n">
        <v>38599</v>
      </c>
    </row>
    <row r="118">
      <c r="A118" s="5" t="n">
        <v>117</v>
      </c>
      <c r="B118" s="6" t="inlineStr">
        <is>
          <t>GET</t>
        </is>
      </c>
      <c r="C118" s="7" t="inlineStr">
        <is>
          <t>/api/chatgpt/users</t>
        </is>
      </c>
      <c r="D118" s="5" t="inlineStr">
        <is>
          <t>chatgpt</t>
        </is>
      </c>
      <c r="E118" s="5" t="inlineStr">
        <is>
          <t>Platform / AI</t>
        </is>
      </c>
      <c r="F118" s="5" t="inlineStr">
        <is>
          <t>API key</t>
        </is>
      </c>
      <c r="G118" s="5" t="inlineStr">
        <is>
          <t>Get users list (limited info, read-only for ChatGPT)</t>
        </is>
      </c>
      <c r="H118" s="5" t="inlineStr">
        <is>
          <t>backend_proxy_server.js</t>
        </is>
      </c>
      <c r="I118" s="5" t="n">
        <v>38662</v>
      </c>
    </row>
    <row r="119">
      <c r="A119" s="8" t="n">
        <v>118</v>
      </c>
      <c r="B119" s="9" t="inlineStr">
        <is>
          <t>POST</t>
        </is>
      </c>
      <c r="C119" s="10" t="inlineStr">
        <is>
          <t>/api/cifs/convert/wzdx</t>
        </is>
      </c>
      <c r="D119" s="8" t="inlineStr">
        <is>
          <t>cifs</t>
        </is>
      </c>
      <c r="E119" s="8" t="inlineStr">
        <is>
          <t>Core event data</t>
        </is>
      </c>
      <c r="F119" s="8" t="inlineStr">
        <is>
          <t>Write - check handler</t>
        </is>
      </c>
      <c r="G119" s="8" t="inlineStr">
        <is>
          <t>POST /api/cifs/convert/wzdx - Convert TIM/CV-TIM to WZDx format</t>
        </is>
      </c>
      <c r="H119" s="8" t="inlineStr">
        <is>
          <t>backend_proxy_server.js</t>
        </is>
      </c>
      <c r="I119" s="8" t="n">
        <v>17455</v>
      </c>
    </row>
    <row r="120">
      <c r="A120" s="5" t="n">
        <v>119</v>
      </c>
      <c r="B120" s="11" t="inlineStr">
        <is>
          <t>POST</t>
        </is>
      </c>
      <c r="C120" s="7" t="inlineStr">
        <is>
          <t>/api/cifs/cv-tim</t>
        </is>
      </c>
      <c r="D120" s="5" t="inlineStr">
        <is>
          <t>cifs</t>
        </is>
      </c>
      <c r="E120" s="5" t="inlineStr">
        <is>
          <t>Core event data</t>
        </is>
      </c>
      <c r="F120" s="5" t="inlineStr">
        <is>
          <t>Write - check handler</t>
        </is>
      </c>
      <c r="G120" s="5" t="inlineStr">
        <is>
          <t>POST /api/cifs/cv-tim - Submit CV-TIM message</t>
        </is>
      </c>
      <c r="H120" s="5" t="inlineStr">
        <is>
          <t>backend_proxy_server.js</t>
        </is>
      </c>
      <c r="I120" s="5" t="n">
        <v>17342</v>
      </c>
    </row>
    <row r="121">
      <c r="A121" s="8" t="n">
        <v>120</v>
      </c>
      <c r="B121" s="9" t="inlineStr">
        <is>
          <t>POST</t>
        </is>
      </c>
      <c r="C121" s="10" t="inlineStr">
        <is>
          <t>/api/cifs/feed/:feedId/poll</t>
        </is>
      </c>
      <c r="D121" s="8" t="inlineStr">
        <is>
          <t>cifs</t>
        </is>
      </c>
      <c r="E121" s="8" t="inlineStr">
        <is>
          <t>Core event data</t>
        </is>
      </c>
      <c r="F121" s="8" t="inlineStr">
        <is>
          <t>Write - check handler</t>
        </is>
      </c>
      <c r="G121" s="8" t="inlineStr">
        <is>
          <t>POST /api/cifs/feed/:feedId/poll - Poll CIFS feed for new messages</t>
        </is>
      </c>
      <c r="H121" s="8" t="inlineStr">
        <is>
          <t>backend_proxy_server.js</t>
        </is>
      </c>
      <c r="I121" s="8" t="n">
        <v>17416</v>
      </c>
    </row>
    <row r="122">
      <c r="A122" s="5" t="n">
        <v>121</v>
      </c>
      <c r="B122" s="11" t="inlineStr">
        <is>
          <t>POST</t>
        </is>
      </c>
      <c r="C122" s="7" t="inlineStr">
        <is>
          <t>/api/cifs/feed/subscribe</t>
        </is>
      </c>
      <c r="D122" s="5" t="inlineStr">
        <is>
          <t>cifs</t>
        </is>
      </c>
      <c r="E122" s="5" t="inlineStr">
        <is>
          <t>Core event data</t>
        </is>
      </c>
      <c r="F122" s="5" t="inlineStr">
        <is>
          <t>Write - check handler</t>
        </is>
      </c>
      <c r="G122" s="5" t="inlineStr">
        <is>
          <t>POST /api/cifs/feed/subscribe - Subscribe to CIFS feed</t>
        </is>
      </c>
      <c r="H122" s="5" t="inlineStr">
        <is>
          <t>backend_proxy_server.js</t>
        </is>
      </c>
      <c r="I122" s="5" t="n">
        <v>17395</v>
      </c>
    </row>
    <row r="123">
      <c r="A123" s="8" t="n">
        <v>122</v>
      </c>
      <c r="B123" s="12" t="inlineStr">
        <is>
          <t>GET</t>
        </is>
      </c>
      <c r="C123" s="10" t="inlineStr">
        <is>
          <t>/api/cifs/itis/:code</t>
        </is>
      </c>
      <c r="D123" s="8" t="inlineStr">
        <is>
          <t>cifs</t>
        </is>
      </c>
      <c r="E123" s="8" t="inlineStr">
        <is>
          <t>Core event data</t>
        </is>
      </c>
      <c r="F123" s="8" t="inlineStr">
        <is>
          <t>Public (GET)</t>
        </is>
      </c>
      <c r="G123" s="8" t="inlineStr">
        <is>
          <t>GET /api/cifs/itis/:code - Lookup ITIS code description</t>
        </is>
      </c>
      <c r="H123" s="8" t="inlineStr">
        <is>
          <t>backend_proxy_server.js</t>
        </is>
      </c>
      <c r="I123" s="8" t="n">
        <v>17482</v>
      </c>
    </row>
    <row r="124">
      <c r="A124" s="5" t="n">
        <v>123</v>
      </c>
      <c r="B124" s="6" t="inlineStr">
        <is>
          <t>GET</t>
        </is>
      </c>
      <c r="C124" s="7" t="inlineStr">
        <is>
          <t>/api/cifs/messages</t>
        </is>
      </c>
      <c r="D124" s="5" t="inlineStr">
        <is>
          <t>cifs</t>
        </is>
      </c>
      <c r="E124" s="5" t="inlineStr">
        <is>
          <t>Core event data</t>
        </is>
      </c>
      <c r="F124" s="5" t="inlineStr">
        <is>
          <t>Public (GET)</t>
        </is>
      </c>
      <c r="G124" s="5" t="inlineStr">
        <is>
          <t>GET /api/cifs/messages - Get TIM/CV-TIM messages</t>
        </is>
      </c>
      <c r="H124" s="5" t="inlineStr">
        <is>
          <t>backend_proxy_server.js</t>
        </is>
      </c>
      <c r="I124" s="5" t="n">
        <v>17367</v>
      </c>
    </row>
    <row r="125">
      <c r="A125" s="8" t="n">
        <v>124</v>
      </c>
      <c r="B125" s="15" t="inlineStr">
        <is>
          <t>DELETE</t>
        </is>
      </c>
      <c r="C125" s="10" t="inlineStr">
        <is>
          <t>/api/cifs/messages/expired</t>
        </is>
      </c>
      <c r="D125" s="8" t="inlineStr">
        <is>
          <t>cifs</t>
        </is>
      </c>
      <c r="E125" s="8" t="inlineStr">
        <is>
          <t>Core event data</t>
        </is>
      </c>
      <c r="F125" s="8" t="inlineStr">
        <is>
          <t>Write - check handler</t>
        </is>
      </c>
      <c r="G125" s="8" t="inlineStr">
        <is>
          <t>DELETE /api/cifs/messages/expired - Cleanup expired TIM messages</t>
        </is>
      </c>
      <c r="H125" s="8" t="inlineStr">
        <is>
          <t>backend_proxy_server.js</t>
        </is>
      </c>
      <c r="I125" s="8" t="n">
        <v>17436</v>
      </c>
    </row>
    <row r="126">
      <c r="A126" s="5" t="n">
        <v>125</v>
      </c>
      <c r="B126" s="11" t="inlineStr">
        <is>
          <t>POST</t>
        </is>
      </c>
      <c r="C126" s="7" t="inlineStr">
        <is>
          <t>/api/cifs/tim</t>
        </is>
      </c>
      <c r="D126" s="5" t="inlineStr">
        <is>
          <t>cifs</t>
        </is>
      </c>
      <c r="E126" s="5" t="inlineStr">
        <is>
          <t>Core event data</t>
        </is>
      </c>
      <c r="F126" s="5" t="inlineStr">
        <is>
          <t>Write - check handler</t>
        </is>
      </c>
      <c r="G126" s="5" t="inlineStr">
        <is>
          <t>POST /api/cifs/tim - Submit TIM message</t>
        </is>
      </c>
      <c r="H126" s="5" t="inlineStr">
        <is>
          <t>backend_proxy_server.js</t>
        </is>
      </c>
      <c r="I126" s="5" t="n">
        <v>17317</v>
      </c>
    </row>
    <row r="127">
      <c r="A127" s="8" t="n">
        <v>126</v>
      </c>
      <c r="B127" s="12" t="inlineStr">
        <is>
          <t>GET</t>
        </is>
      </c>
      <c r="C127" s="10" t="inlineStr">
        <is>
          <t>/api/closures</t>
        </is>
      </c>
      <c r="D127" s="8" t="inlineStr">
        <is>
          <t>closures</t>
        </is>
      </c>
      <c r="E127" s="8" t="inlineStr">
        <is>
          <t>Corridor ops</t>
        </is>
      </c>
      <c r="F127" s="8" t="inlineStr">
        <is>
          <t>Public (GET)</t>
        </is>
      </c>
      <c r="G127" s="8" t="inlineStr">
        <is>
          <t>GET all planned closures</t>
        </is>
      </c>
      <c r="H127" s="8" t="inlineStr">
        <is>
          <t>backend_proxy_server.js</t>
        </is>
      </c>
      <c r="I127" s="8" t="n">
        <v>13967</v>
      </c>
    </row>
    <row r="128">
      <c r="A128" s="5" t="n">
        <v>127</v>
      </c>
      <c r="B128" s="11" t="inlineStr">
        <is>
          <t>POST</t>
        </is>
      </c>
      <c r="C128" s="7" t="inlineStr">
        <is>
          <t>/api/closures</t>
        </is>
      </c>
      <c r="D128" s="5" t="inlineStr">
        <is>
          <t>closures</t>
        </is>
      </c>
      <c r="E128" s="5" t="inlineStr">
        <is>
          <t>Corridor ops</t>
        </is>
      </c>
      <c r="F128" s="5" t="inlineStr">
        <is>
          <t>Write - check handler</t>
        </is>
      </c>
      <c r="G128" s="5" t="inlineStr">
        <is>
          <t>POST create new planned closure</t>
        </is>
      </c>
      <c r="H128" s="5" t="inlineStr">
        <is>
          <t>backend_proxy_server.js</t>
        </is>
      </c>
      <c r="I128" s="5" t="n">
        <v>14084</v>
      </c>
    </row>
    <row r="129">
      <c r="A129" s="8" t="n">
        <v>128</v>
      </c>
      <c r="B129" s="15" t="inlineStr">
        <is>
          <t>DELETE</t>
        </is>
      </c>
      <c r="C129" s="10" t="inlineStr">
        <is>
          <t>/api/closures/:id</t>
        </is>
      </c>
      <c r="D129" s="8" t="inlineStr">
        <is>
          <t>closures</t>
        </is>
      </c>
      <c r="E129" s="8" t="inlineStr">
        <is>
          <t>Corridor ops</t>
        </is>
      </c>
      <c r="F129" s="8" t="inlineStr">
        <is>
          <t>Write - check handler</t>
        </is>
      </c>
      <c r="G129" s="8" t="inlineStr">
        <is>
          <t>DELETE closure</t>
        </is>
      </c>
      <c r="H129" s="8" t="inlineStr">
        <is>
          <t>backend_proxy_server.js</t>
        </is>
      </c>
      <c r="I129" s="8" t="n">
        <v>14362</v>
      </c>
    </row>
    <row r="130">
      <c r="A130" s="5" t="n">
        <v>129</v>
      </c>
      <c r="B130" s="6" t="inlineStr">
        <is>
          <t>GET</t>
        </is>
      </c>
      <c r="C130" s="7" t="inlineStr">
        <is>
          <t>/api/closures/:id</t>
        </is>
      </c>
      <c r="D130" s="5" t="inlineStr">
        <is>
          <t>closures</t>
        </is>
      </c>
      <c r="E130" s="5" t="inlineStr">
        <is>
          <t>Corridor ops</t>
        </is>
      </c>
      <c r="F130" s="5" t="inlineStr">
        <is>
          <t>Public (GET)</t>
        </is>
      </c>
      <c r="G130" s="5" t="inlineStr">
        <is>
          <t>GET specific closure with approvals</t>
        </is>
      </c>
      <c r="H130" s="5" t="inlineStr">
        <is>
          <t>backend_proxy_server.js</t>
        </is>
      </c>
      <c r="I130" s="5" t="n">
        <v>14031</v>
      </c>
    </row>
    <row r="131">
      <c r="A131" s="8" t="n">
        <v>130</v>
      </c>
      <c r="B131" s="14" t="inlineStr">
        <is>
          <t>PUT</t>
        </is>
      </c>
      <c r="C131" s="10" t="inlineStr">
        <is>
          <t>/api/closures/:id</t>
        </is>
      </c>
      <c r="D131" s="8" t="inlineStr">
        <is>
          <t>closures</t>
        </is>
      </c>
      <c r="E131" s="8" t="inlineStr">
        <is>
          <t>Corridor ops</t>
        </is>
      </c>
      <c r="F131" s="8" t="inlineStr">
        <is>
          <t>Write - check handler</t>
        </is>
      </c>
      <c r="G131" s="8" t="inlineStr">
        <is>
          <t>PUT update closure</t>
        </is>
      </c>
      <c r="H131" s="8" t="inlineStr">
        <is>
          <t>backend_proxy_server.js</t>
        </is>
      </c>
      <c r="I131" s="8" t="n">
        <v>14157</v>
      </c>
    </row>
    <row r="132">
      <c r="A132" s="5" t="n">
        <v>131</v>
      </c>
      <c r="B132" s="11" t="inlineStr">
        <is>
          <t>POST</t>
        </is>
      </c>
      <c r="C132" s="7" t="inlineStr">
        <is>
          <t>/api/closures/:id/approve</t>
        </is>
      </c>
      <c r="D132" s="5" t="inlineStr">
        <is>
          <t>closures</t>
        </is>
      </c>
      <c r="E132" s="5" t="inlineStr">
        <is>
          <t>Corridor ops</t>
        </is>
      </c>
      <c r="F132" s="5" t="inlineStr">
        <is>
          <t>Write - check handler</t>
        </is>
      </c>
      <c r="G132" s="5" t="inlineStr">
        <is>
          <t>POST approve/reject closure</t>
        </is>
      </c>
      <c r="H132" s="5" t="inlineStr">
        <is>
          <t>backend_proxy_server.js</t>
        </is>
      </c>
      <c r="I132" s="5" t="n">
        <v>14250</v>
      </c>
    </row>
    <row r="133">
      <c r="A133" s="8" t="n">
        <v>132</v>
      </c>
      <c r="B133" s="9" t="inlineStr">
        <is>
          <t>POST</t>
        </is>
      </c>
      <c r="C133" s="10" t="inlineStr">
        <is>
          <t>/api/closures/:id/comments</t>
        </is>
      </c>
      <c r="D133" s="8" t="inlineStr">
        <is>
          <t>closures</t>
        </is>
      </c>
      <c r="E133" s="8" t="inlineStr">
        <is>
          <t>Corridor ops</t>
        </is>
      </c>
      <c r="F133" s="8" t="inlineStr">
        <is>
          <t>Write - check handler</t>
        </is>
      </c>
      <c r="G133" s="8" t="inlineStr">
        <is>
          <t>POST add comment to closure</t>
        </is>
      </c>
      <c r="H133" s="8" t="inlineStr">
        <is>
          <t>backend_proxy_server.js</t>
        </is>
      </c>
      <c r="I133" s="8" t="n">
        <v>14330</v>
      </c>
    </row>
    <row r="134">
      <c r="A134" s="5" t="n">
        <v>133</v>
      </c>
      <c r="B134" s="11" t="inlineStr">
        <is>
          <t>POST</t>
        </is>
      </c>
      <c r="C134" s="7" t="inlineStr">
        <is>
          <t>/api/closures/:id/submit</t>
        </is>
      </c>
      <c r="D134" s="5" t="inlineStr">
        <is>
          <t>closures</t>
        </is>
      </c>
      <c r="E134" s="5" t="inlineStr">
        <is>
          <t>Corridor ops</t>
        </is>
      </c>
      <c r="F134" s="5" t="inlineStr">
        <is>
          <t>Write - check handler</t>
        </is>
      </c>
      <c r="G134" s="5" t="inlineStr">
        <is>
          <t>POST submit closure for approval</t>
        </is>
      </c>
      <c r="H134" s="5" t="inlineStr">
        <is>
          <t>backend_proxy_server.js</t>
        </is>
      </c>
      <c r="I134" s="5" t="n">
        <v>14218</v>
      </c>
    </row>
    <row r="135">
      <c r="A135" s="8" t="n">
        <v>134</v>
      </c>
      <c r="B135" s="12" t="inlineStr">
        <is>
          <t>GET</t>
        </is>
      </c>
      <c r="C135" s="10" t="inlineStr">
        <is>
          <t>/api/closures/location</t>
        </is>
      </c>
      <c r="D135" s="8" t="inlineStr">
        <is>
          <t>closures</t>
        </is>
      </c>
      <c r="E135" s="8" t="inlineStr">
        <is>
          <t>Corridor ops</t>
        </is>
      </c>
      <c r="F135" s="8" t="inlineStr">
        <is>
          <t>Public (GET)</t>
        </is>
      </c>
      <c r="G135" s="8" t="inlineStr"/>
      <c r="H135" s="8" t="inlineStr">
        <is>
          <t>backend_proxy_server.js</t>
        </is>
      </c>
      <c r="I135" s="8" t="n">
        <v>5247</v>
      </c>
    </row>
    <row r="136">
      <c r="A136" s="5" t="n">
        <v>135</v>
      </c>
      <c r="B136" s="11" t="inlineStr">
        <is>
          <t>POST</t>
        </is>
      </c>
      <c r="C136" s="7" t="inlineStr">
        <is>
          <t>/api/closures/location</t>
        </is>
      </c>
      <c r="D136" s="5" t="inlineStr">
        <is>
          <t>closures</t>
        </is>
      </c>
      <c r="E136" s="5" t="inlineStr">
        <is>
          <t>Corridor ops</t>
        </is>
      </c>
      <c r="F136" s="5" t="inlineStr">
        <is>
          <t>Write - check handler</t>
        </is>
      </c>
      <c r="G136" s="5" t="inlineStr"/>
      <c r="H136" s="5" t="inlineStr">
        <is>
          <t>backend_proxy_server.js</t>
        </is>
      </c>
      <c r="I136" s="5" t="n">
        <v>5235</v>
      </c>
    </row>
    <row r="137">
      <c r="A137" s="8" t="n">
        <v>136</v>
      </c>
      <c r="B137" s="9" t="inlineStr">
        <is>
          <t>POST</t>
        </is>
      </c>
      <c r="C137" s="10" t="inlineStr">
        <is>
          <t>/api/community/contribute</t>
        </is>
      </c>
      <c r="D137" s="8" t="inlineStr">
        <is>
          <t>community</t>
        </is>
      </c>
      <c r="E137" s="8" t="inlineStr">
        <is>
          <t>Collaboration</t>
        </is>
      </c>
      <c r="F137" s="8" t="inlineStr">
        <is>
          <t>Write - check handler</t>
        </is>
      </c>
      <c r="G137" s="8" t="inlineStr">
        <is>
          <t>Submit a community contribution (missing state feed, data source, etc.)</t>
        </is>
      </c>
      <c r="H137" s="8" t="inlineStr">
        <is>
          <t>backend_proxy_server.js</t>
        </is>
      </c>
      <c r="I137" s="8" t="n">
        <v>38891</v>
      </c>
    </row>
    <row r="138">
      <c r="A138" s="5" t="n">
        <v>137</v>
      </c>
      <c r="B138" s="6" t="inlineStr">
        <is>
          <t>GET</t>
        </is>
      </c>
      <c r="C138" s="7" t="inlineStr">
        <is>
          <t>/api/community/contributions</t>
        </is>
      </c>
      <c r="D138" s="5" t="inlineStr">
        <is>
          <t>community</t>
        </is>
      </c>
      <c r="E138" s="5" t="inlineStr">
        <is>
          <t>Collaboration</t>
        </is>
      </c>
      <c r="F138" s="5" t="inlineStr">
        <is>
          <t>Public (GET)</t>
        </is>
      </c>
      <c r="G138" s="5" t="inlineStr">
        <is>
          <t>Get pending contributions (for admin review)</t>
        </is>
      </c>
      <c r="H138" s="5" t="inlineStr">
        <is>
          <t>backend_proxy_server.js</t>
        </is>
      </c>
      <c r="I138" s="5" t="n">
        <v>39119</v>
      </c>
    </row>
    <row r="139">
      <c r="A139" s="8" t="n">
        <v>138</v>
      </c>
      <c r="B139" s="12" t="inlineStr">
        <is>
          <t>GET</t>
        </is>
      </c>
      <c r="C139" s="10" t="inlineStr">
        <is>
          <t>/api/community/gaps</t>
        </is>
      </c>
      <c r="D139" s="8" t="inlineStr">
        <is>
          <t>community</t>
        </is>
      </c>
      <c r="E139" s="8" t="inlineStr">
        <is>
          <t>Collaboration</t>
        </is>
      </c>
      <c r="F139" s="8" t="inlineStr">
        <is>
          <t>Public (GET)</t>
        </is>
      </c>
      <c r="G139" s="8" t="inlineStr">
        <is>
          <t>Get coverage gaps (missing states with priority)</t>
        </is>
      </c>
      <c r="H139" s="8" t="inlineStr">
        <is>
          <t>backend_proxy_server.js</t>
        </is>
      </c>
      <c r="I139" s="8" t="n">
        <v>39274</v>
      </c>
    </row>
    <row r="140">
      <c r="A140" s="5" t="n">
        <v>139</v>
      </c>
      <c r="B140" s="11" t="inlineStr">
        <is>
          <t>POST</t>
        </is>
      </c>
      <c r="C140" s="7" t="inlineStr">
        <is>
          <t>/api/community/migrate</t>
        </is>
      </c>
      <c r="D140" s="5" t="inlineStr">
        <is>
          <t>community</t>
        </is>
      </c>
      <c r="E140" s="5" t="inlineStr">
        <is>
          <t>Collaboration</t>
        </is>
      </c>
      <c r="F140" s="5" t="inlineStr">
        <is>
          <t>Write - check handler</t>
        </is>
      </c>
      <c r="G140" s="5" t="inlineStr">
        <is>
          <t>Create community contribution tables (one-time setup)</t>
        </is>
      </c>
      <c r="H140" s="5" t="inlineStr">
        <is>
          <t>backend_proxy_server.js</t>
        </is>
      </c>
      <c r="I140" s="5" t="n">
        <v>39167</v>
      </c>
    </row>
    <row r="141">
      <c r="A141" s="8" t="n">
        <v>140</v>
      </c>
      <c r="B141" s="12" t="inlineStr">
        <is>
          <t>GET</t>
        </is>
      </c>
      <c r="C141" s="10" t="inlineStr">
        <is>
          <t>/api/community/status</t>
        </is>
      </c>
      <c r="D141" s="8" t="inlineStr">
        <is>
          <t>community</t>
        </is>
      </c>
      <c r="E141" s="8" t="inlineStr">
        <is>
          <t>Collaboration</t>
        </is>
      </c>
      <c r="F141" s="8" t="inlineStr">
        <is>
          <t>Public (GET)</t>
        </is>
      </c>
      <c r="G141" s="8" t="inlineStr">
        <is>
          <t>Get implementation status for all states</t>
        </is>
      </c>
      <c r="H141" s="8" t="inlineStr">
        <is>
          <t>backend_proxy_server.js</t>
        </is>
      </c>
      <c r="I141" s="8" t="n">
        <v>39052</v>
      </c>
    </row>
    <row r="142">
      <c r="A142" s="5" t="n">
        <v>141</v>
      </c>
      <c r="B142" s="11" t="inlineStr">
        <is>
          <t>POST</t>
        </is>
      </c>
      <c r="C142" s="7" t="inlineStr">
        <is>
          <t>/api/community/vote</t>
        </is>
      </c>
      <c r="D142" s="5" t="inlineStr">
        <is>
          <t>community</t>
        </is>
      </c>
      <c r="E142" s="5" t="inlineStr">
        <is>
          <t>Collaboration</t>
        </is>
      </c>
      <c r="F142" s="5" t="inlineStr">
        <is>
          <t>Write - check handler</t>
        </is>
      </c>
      <c r="G142" s="5" t="inlineStr">
        <is>
          <t>Vote on state priority (which states should be added next)</t>
        </is>
      </c>
      <c r="H142" s="5" t="inlineStr">
        <is>
          <t>backend_proxy_server.js</t>
        </is>
      </c>
      <c r="I142" s="5" t="n">
        <v>38967</v>
      </c>
    </row>
    <row r="143">
      <c r="A143" s="8" t="n">
        <v>142</v>
      </c>
      <c r="B143" s="12" t="inlineStr">
        <is>
          <t>GET</t>
        </is>
      </c>
      <c r="C143" s="10" t="inlineStr">
        <is>
          <t>/api/compliance/guide/:state</t>
        </is>
      </c>
      <c r="D143" s="8" t="inlineStr">
        <is>
          <t>compliance</t>
        </is>
      </c>
      <c r="E143" s="8" t="inlineStr">
        <is>
          <t>Data quality</t>
        </is>
      </c>
      <c r="F143" s="8" t="inlineStr">
        <is>
          <t>Public (GET)</t>
        </is>
      </c>
      <c r="G143" s="8" t="inlineStr">
        <is>
          <t>Generate state-specific SAE J2735 compliance guide</t>
        </is>
      </c>
      <c r="H143" s="8" t="inlineStr">
        <is>
          <t>backend_proxy_server.js</t>
        </is>
      </c>
      <c r="I143" s="8" t="n">
        <v>9500</v>
      </c>
    </row>
    <row r="144">
      <c r="A144" s="5" t="n">
        <v>143</v>
      </c>
      <c r="B144" s="6" t="inlineStr">
        <is>
          <t>GET</t>
        </is>
      </c>
      <c r="C144" s="7" t="inlineStr">
        <is>
          <t>/api/compliance/state/:stateKey</t>
        </is>
      </c>
      <c r="D144" s="5" t="inlineStr">
        <is>
          <t>compliance</t>
        </is>
      </c>
      <c r="E144" s="5" t="inlineStr">
        <is>
          <t>Data quality</t>
        </is>
      </c>
      <c r="F144" s="5" t="inlineStr">
        <is>
          <t>Public (GET)</t>
        </is>
      </c>
      <c r="G144" s="5" t="inlineStr">
        <is>
          <t>Get detailed compliance guide for specific state</t>
        </is>
      </c>
      <c r="H144" s="5" t="inlineStr">
        <is>
          <t>backend_proxy_server.js</t>
        </is>
      </c>
      <c r="I144" s="5" t="n">
        <v>18398</v>
      </c>
    </row>
    <row r="145">
      <c r="A145" s="8" t="n">
        <v>144</v>
      </c>
      <c r="B145" s="12" t="inlineStr">
        <is>
          <t>GET</t>
        </is>
      </c>
      <c r="C145" s="10" t="inlineStr">
        <is>
          <t>/api/compliance/summary</t>
        </is>
      </c>
      <c r="D145" s="8" t="inlineStr">
        <is>
          <t>compliance</t>
        </is>
      </c>
      <c r="E145" s="8" t="inlineStr">
        <is>
          <t>Data quality</t>
        </is>
      </c>
      <c r="F145" s="8" t="inlineStr">
        <is>
          <t>Public (GET)</t>
        </is>
      </c>
      <c r="G145" s="8" t="inlineStr">
        <is>
          <t>Get compliance summary for all states</t>
        </is>
      </c>
      <c r="H145" s="8" t="inlineStr">
        <is>
          <t>backend_proxy_server.js</t>
        </is>
      </c>
      <c r="I145" s="8" t="n">
        <v>18281</v>
      </c>
    </row>
    <row r="146">
      <c r="A146" s="5" t="n">
        <v>145</v>
      </c>
      <c r="B146" s="11" t="inlineStr">
        <is>
          <t>POST</t>
        </is>
      </c>
      <c r="C146" s="7" t="inlineStr">
        <is>
          <t>/api/compress/spatial-temporal</t>
        </is>
      </c>
      <c r="D146" s="5" t="inlineStr">
        <is>
          <t>compress</t>
        </is>
      </c>
      <c r="E146" s="5" t="inlineStr">
        <is>
          <t>Utility</t>
        </is>
      </c>
      <c r="F146" s="5" t="inlineStr">
        <is>
          <t>Write - check handler</t>
        </is>
      </c>
      <c r="G146" s="5">
        <f>========= FEATURE #9: Spatial-Temporal Compression ==========</f>
        <v/>
      </c>
      <c r="H146" s="5" t="inlineStr">
        <is>
          <t>ml-integrations.js</t>
        </is>
      </c>
      <c r="I146" s="5" t="n">
        <v>398</v>
      </c>
    </row>
    <row r="147">
      <c r="A147" s="8" t="n">
        <v>146</v>
      </c>
      <c r="B147" s="12" t="inlineStr">
        <is>
          <t>GET</t>
        </is>
      </c>
      <c r="C147" s="10" t="inlineStr">
        <is>
          <t>/api/confidence/events</t>
        </is>
      </c>
      <c r="D147" s="8" t="inlineStr">
        <is>
          <t>confidence</t>
        </is>
      </c>
      <c r="E147" s="8" t="inlineStr">
        <is>
          <t>Data quality</t>
        </is>
      </c>
      <c r="F147" s="8" t="inlineStr">
        <is>
          <t>Public (GET)</t>
        </is>
      </c>
      <c r="G147" s="8" t="inlineStr">
        <is>
          <t>Get event confidence scores</t>
        </is>
      </c>
      <c r="H147" s="8" t="inlineStr">
        <is>
          <t>backend_proxy_server.js</t>
        </is>
      </c>
      <c r="I147" s="8" t="n">
        <v>23606</v>
      </c>
    </row>
    <row r="148">
      <c r="A148" s="5" t="n">
        <v>147</v>
      </c>
      <c r="B148" s="6" t="inlineStr">
        <is>
          <t>GET</t>
        </is>
      </c>
      <c r="C148" s="7" t="inlineStr">
        <is>
          <t>/api/confidence/vendor-reliability</t>
        </is>
      </c>
      <c r="D148" s="5" t="inlineStr">
        <is>
          <t>confidence</t>
        </is>
      </c>
      <c r="E148" s="5" t="inlineStr">
        <is>
          <t>Data quality</t>
        </is>
      </c>
      <c r="F148" s="5" t="inlineStr">
        <is>
          <t>Public (GET)</t>
        </is>
      </c>
      <c r="G148" s="5" t="inlineStr"/>
      <c r="H148" s="5" t="inlineStr">
        <is>
          <t>backend_proxy_server.js</t>
        </is>
      </c>
      <c r="I148" s="5" t="n">
        <v>23735</v>
      </c>
    </row>
    <row r="149">
      <c r="A149" s="8" t="n">
        <v>148</v>
      </c>
      <c r="B149" s="12" t="inlineStr">
        <is>
          <t>GET</t>
        </is>
      </c>
      <c r="C149" s="10" t="inlineStr">
        <is>
          <t>/api/convert/cifs</t>
        </is>
      </c>
      <c r="D149" s="8" t="inlineStr">
        <is>
          <t>convert</t>
        </is>
      </c>
      <c r="E149" s="8" t="inlineStr">
        <is>
          <t>Core event data</t>
        </is>
      </c>
      <c r="F149" s="8" t="inlineStr">
        <is>
          <t>Public (GET)</t>
        </is>
      </c>
      <c r="G149" s="8">
        <f>=================== CIFS (COMMON INCIDENT FEED SPECIFICATION) ENDPOINT ==================== Google Waze CIFS format: https://developers.google.com/waze/data-feed/cifs-specification</f>
        <v/>
      </c>
      <c r="H149" s="8" t="inlineStr">
        <is>
          <t>backend_proxy_server.js</t>
        </is>
      </c>
      <c r="I149" s="8" t="n">
        <v>8952</v>
      </c>
    </row>
    <row r="150">
      <c r="A150" s="5" t="n">
        <v>149</v>
      </c>
      <c r="B150" s="6" t="inlineStr">
        <is>
          <t>GET</t>
        </is>
      </c>
      <c r="C150" s="7" t="inlineStr">
        <is>
          <t>/api/convert/tim</t>
        </is>
      </c>
      <c r="D150" s="5" t="inlineStr">
        <is>
          <t>convert</t>
        </is>
      </c>
      <c r="E150" s="5" t="inlineStr">
        <is>
          <t>Core event data</t>
        </is>
      </c>
      <c r="F150" s="5" t="inlineStr">
        <is>
          <t>Public (GET)</t>
        </is>
      </c>
      <c r="G150" s="5" t="inlineStr">
        <is>
          <t>Convert events to SAE J2735-style Traveler Information Messages</t>
        </is>
      </c>
      <c r="H150" s="5" t="inlineStr">
        <is>
          <t>backend_proxy_server.js</t>
        </is>
      </c>
      <c r="I150" s="5" t="n">
        <v>8625</v>
      </c>
    </row>
    <row r="151">
      <c r="A151" s="8" t="n">
        <v>150</v>
      </c>
      <c r="B151" s="12" t="inlineStr">
        <is>
          <t>GET</t>
        </is>
      </c>
      <c r="C151" s="10" t="inlineStr">
        <is>
          <t>/api/convert/tim-cv</t>
        </is>
      </c>
      <c r="D151" s="8" t="inlineStr">
        <is>
          <t>convert</t>
        </is>
      </c>
      <c r="E151" s="8" t="inlineStr">
        <is>
          <t>Core event data</t>
        </is>
      </c>
      <c r="F151" s="8" t="inlineStr">
        <is>
          <t>Public (GET)</t>
        </is>
      </c>
      <c r="G151" s="8">
        <f>=================== SAE J2540 COMMERCIAL VEHICLE TIM ENDPOINT ==================== SAE J2540 extends J2735 with commercial vehicle-specific information</f>
        <v/>
      </c>
      <c r="H151" s="8" t="inlineStr">
        <is>
          <t>backend_proxy_server.js</t>
        </is>
      </c>
      <c r="I151" s="8" t="n">
        <v>8763</v>
      </c>
    </row>
    <row r="152">
      <c r="A152" s="5" t="n">
        <v>151</v>
      </c>
      <c r="B152" s="6" t="inlineStr">
        <is>
          <t>GET</t>
        </is>
      </c>
      <c r="C152" s="7" t="inlineStr">
        <is>
          <t>/api/corridor/:corridor/delays</t>
        </is>
      </c>
      <c r="D152" s="5" t="inlineStr">
        <is>
          <t>corridor</t>
        </is>
      </c>
      <c r="E152" s="5" t="inlineStr">
        <is>
          <t>Corridor ops</t>
        </is>
      </c>
      <c r="F152" s="5" t="inlineStr">
        <is>
          <t>Public (GET)</t>
        </is>
      </c>
      <c r="G152" s="5" t="inlineStr">
        <is>
          <t>Get real-time delay analysis for a corridor</t>
        </is>
      </c>
      <c r="H152" s="5" t="inlineStr">
        <is>
          <t>backend_proxy_server.js</t>
        </is>
      </c>
      <c r="I152" s="5" t="n">
        <v>19225</v>
      </c>
    </row>
    <row r="153">
      <c r="A153" s="8" t="n">
        <v>152</v>
      </c>
      <c r="B153" s="12" t="inlineStr">
        <is>
          <t>GET</t>
        </is>
      </c>
      <c r="C153" s="10" t="inlineStr">
        <is>
          <t>/api/corridor/:corridor/travel-time</t>
        </is>
      </c>
      <c r="D153" s="8" t="inlineStr">
        <is>
          <t>corridor</t>
        </is>
      </c>
      <c r="E153" s="8" t="inlineStr">
        <is>
          <t>Corridor ops</t>
        </is>
      </c>
      <c r="F153" s="8" t="inlineStr">
        <is>
          <t>Public (GET)</t>
        </is>
      </c>
      <c r="G153" s="8" t="inlineStr">
        <is>
          <t>Get travel time estimate between two states on a corridor</t>
        </is>
      </c>
      <c r="H153" s="8" t="inlineStr">
        <is>
          <t>backend_proxy_server.js</t>
        </is>
      </c>
      <c r="I153" s="8" t="n">
        <v>19274</v>
      </c>
    </row>
    <row r="154">
      <c r="A154" s="5" t="n">
        <v>153</v>
      </c>
      <c r="B154" s="6" t="inlineStr">
        <is>
          <t>GET</t>
        </is>
      </c>
      <c r="C154" s="7" t="inlineStr">
        <is>
          <t>/api/corridor/available</t>
        </is>
      </c>
      <c r="D154" s="5" t="inlineStr">
        <is>
          <t>corridor</t>
        </is>
      </c>
      <c r="E154" s="5" t="inlineStr">
        <is>
          <t>Corridor ops</t>
        </is>
      </c>
      <c r="F154" s="5" t="inlineStr">
        <is>
          <t>Public (GET)</t>
        </is>
      </c>
      <c r="G154" s="5" t="inlineStr">
        <is>
          <t>Get available corridors</t>
        </is>
      </c>
      <c r="H154" s="5" t="inlineStr">
        <is>
          <t>backend_proxy_server.js</t>
        </is>
      </c>
      <c r="I154" s="5" t="n">
        <v>19310</v>
      </c>
    </row>
    <row r="155">
      <c r="A155" s="8" t="n">
        <v>154</v>
      </c>
      <c r="B155" s="12" t="inlineStr">
        <is>
          <t>GET</t>
        </is>
      </c>
      <c r="C155" s="10" t="inlineStr">
        <is>
          <t>/api/corridor/delays/summary</t>
        </is>
      </c>
      <c r="D155" s="8" t="inlineStr">
        <is>
          <t>corridor</t>
        </is>
      </c>
      <c r="E155" s="8" t="inlineStr">
        <is>
          <t>Corridor ops</t>
        </is>
      </c>
      <c r="F155" s="8" t="inlineStr">
        <is>
          <t>Public (GET)</t>
        </is>
      </c>
      <c r="G155" s="8" t="inlineStr">
        <is>
          <t>Get all corridor summaries at once</t>
        </is>
      </c>
      <c r="H155" s="8" t="inlineStr">
        <is>
          <t>backend_proxy_server.js</t>
        </is>
      </c>
      <c r="I155" s="8" t="n">
        <v>19255</v>
      </c>
    </row>
    <row r="156">
      <c r="A156" s="5" t="n">
        <v>155</v>
      </c>
      <c r="B156" s="11" t="inlineStr">
        <is>
          <t>POST</t>
        </is>
      </c>
      <c r="C156" s="7" t="inlineStr">
        <is>
          <t>/api/corridor/generate-summary</t>
        </is>
      </c>
      <c r="D156" s="5" t="inlineStr">
        <is>
          <t>corridor</t>
        </is>
      </c>
      <c r="E156" s="5" t="inlineStr">
        <is>
          <t>Corridor ops</t>
        </is>
      </c>
      <c r="F156" s="5" t="inlineStr">
        <is>
          <t>Write - check handler</t>
        </is>
      </c>
      <c r="G156" s="5" t="inlineStr">
        <is>
          <t>Generate AI corridor summary using OpenAI</t>
        </is>
      </c>
      <c r="H156" s="5" t="inlineStr">
        <is>
          <t>backend_proxy_server.js</t>
        </is>
      </c>
      <c r="I156" s="5" t="n">
        <v>25288</v>
      </c>
    </row>
    <row r="157">
      <c r="A157" s="8" t="n">
        <v>156</v>
      </c>
      <c r="B157" s="12" t="inlineStr">
        <is>
          <t>GET</t>
        </is>
      </c>
      <c r="C157" s="10" t="inlineStr">
        <is>
          <t>/api/corridor-briefing/:corridor</t>
        </is>
      </c>
      <c r="D157" s="8" t="inlineStr">
        <is>
          <t>corridor-briefing</t>
        </is>
      </c>
      <c r="E157" s="8" t="inlineStr">
        <is>
          <t>Corridor ops</t>
        </is>
      </c>
      <c r="F157" s="8" t="inlineStr">
        <is>
          <t>Public (GET)</t>
        </is>
      </c>
      <c r="G157" s="8" t="inlineStr">
        <is>
          <t>Corridor briefing summary endpoint</t>
        </is>
      </c>
      <c r="H157" s="8" t="inlineStr">
        <is>
          <t>backend_proxy_server.js</t>
        </is>
      </c>
      <c r="I157" s="8" t="n">
        <v>19318</v>
      </c>
    </row>
    <row r="158">
      <c r="A158" s="5" t="n">
        <v>157</v>
      </c>
      <c r="B158" s="6" t="inlineStr">
        <is>
          <t>GET</t>
        </is>
      </c>
      <c r="C158" s="7" t="inlineStr">
        <is>
          <t>/api/corridor-regulations</t>
        </is>
      </c>
      <c r="D158" s="5" t="inlineStr">
        <is>
          <t>corridor-regulations</t>
        </is>
      </c>
      <c r="E158" s="5" t="inlineStr">
        <is>
          <t>Corridor ops</t>
        </is>
      </c>
      <c r="F158" s="5" t="inlineStr">
        <is>
          <t>Public (GET)</t>
        </is>
      </c>
      <c r="G158" s="5" t="inlineStr"/>
      <c r="H158" s="5" t="inlineStr">
        <is>
          <t>backend_proxy_server.js</t>
        </is>
      </c>
      <c r="I158" s="5" t="n">
        <v>19188</v>
      </c>
    </row>
    <row r="159">
      <c r="A159" s="8" t="n">
        <v>158</v>
      </c>
      <c r="B159" s="12" t="inlineStr">
        <is>
          <t>GET</t>
        </is>
      </c>
      <c r="C159" s="10" t="inlineStr">
        <is>
          <t>/api/corridors/:corridorId/compare-providers</t>
        </is>
      </c>
      <c r="D159" s="8" t="inlineStr">
        <is>
          <t>corridors</t>
        </is>
      </c>
      <c r="E159" s="8" t="inlineStr">
        <is>
          <t>Corridor ops</t>
        </is>
      </c>
      <c r="F159" s="8" t="inlineStr">
        <is>
          <t>Public (GET)</t>
        </is>
      </c>
      <c r="G159" s="8" t="inlineStr">
        <is>
          <t>GET /api/corridors/:corridorId/compare-providers - Compare data providers</t>
        </is>
      </c>
      <c r="H159" s="8" t="inlineStr">
        <is>
          <t>backend_proxy_server.js</t>
        </is>
      </c>
      <c r="I159" s="8" t="n">
        <v>16865</v>
      </c>
    </row>
    <row r="160">
      <c r="A160" s="5" t="n">
        <v>159</v>
      </c>
      <c r="B160" s="6" t="inlineStr">
        <is>
          <t>GET</t>
        </is>
      </c>
      <c r="C160" s="7" t="inlineStr">
        <is>
          <t>/api/corridors/:corridorId/scores</t>
        </is>
      </c>
      <c r="D160" s="5" t="inlineStr">
        <is>
          <t>corridors</t>
        </is>
      </c>
      <c r="E160" s="5" t="inlineStr">
        <is>
          <t>Corridor ops</t>
        </is>
      </c>
      <c r="F160" s="5" t="inlineStr">
        <is>
          <t>Public (GET)</t>
        </is>
      </c>
      <c r="G160" s="5" t="inlineStr">
        <is>
          <t>GET /api/corridors/:corridorId/scores - Get corridor performance scores</t>
        </is>
      </c>
      <c r="H160" s="5" t="inlineStr">
        <is>
          <t>backend_proxy_server.js</t>
        </is>
      </c>
      <c r="I160" s="5" t="n">
        <v>16840</v>
      </c>
    </row>
    <row r="161">
      <c r="A161" s="8" t="n">
        <v>160</v>
      </c>
      <c r="B161" s="9" t="inlineStr">
        <is>
          <t>POST</t>
        </is>
      </c>
      <c r="C161" s="10" t="inlineStr">
        <is>
          <t>/api/coverage-gaps/analyze/:stateKey</t>
        </is>
      </c>
      <c r="D161" s="8" t="inlineStr">
        <is>
          <t>coverage-gaps</t>
        </is>
      </c>
      <c r="E161" s="8" t="inlineStr">
        <is>
          <t>Data quality</t>
        </is>
      </c>
      <c r="F161" s="8" t="inlineStr">
        <is>
          <t>Write - check handler</t>
        </is>
      </c>
      <c r="G161" s="8" t="inlineStr">
        <is>
          <t>Analyze coverage gaps for a state POST /api/coverage-gaps/analyze/:stateKey</t>
        </is>
      </c>
      <c r="H161" s="8" t="inlineStr">
        <is>
          <t>backend_proxy_server.js</t>
        </is>
      </c>
      <c r="I161" s="8" t="n">
        <v>22970</v>
      </c>
    </row>
    <row r="162">
      <c r="A162" s="5" t="n">
        <v>161</v>
      </c>
      <c r="B162" s="6" t="inlineStr">
        <is>
          <t>GET</t>
        </is>
      </c>
      <c r="C162" s="7" t="inlineStr">
        <is>
          <t>/api/coverage-gaps/summary/:stateKey</t>
        </is>
      </c>
      <c r="D162" s="5" t="inlineStr">
        <is>
          <t>coverage-gaps</t>
        </is>
      </c>
      <c r="E162" s="5" t="inlineStr">
        <is>
          <t>Data quality</t>
        </is>
      </c>
      <c r="F162" s="5" t="inlineStr">
        <is>
          <t>Public (GET)</t>
        </is>
      </c>
      <c r="G162" s="5" t="inlineStr">
        <is>
          <t>Get coverage gap summary for a state GET /api/coverage-gaps/summary/:stateKey</t>
        </is>
      </c>
      <c r="H162" s="5" t="inlineStr">
        <is>
          <t>backend_proxy_server.js</t>
        </is>
      </c>
      <c r="I162" s="5" t="n">
        <v>22998</v>
      </c>
    </row>
    <row r="163">
      <c r="A163" s="8" t="n">
        <v>162</v>
      </c>
      <c r="B163" s="12" t="inlineStr">
        <is>
          <t>GET</t>
        </is>
      </c>
      <c r="C163" s="10" t="inlineStr">
        <is>
          <t>/api/crashes/historical</t>
        </is>
      </c>
      <c r="D163" s="8" t="inlineStr">
        <is>
          <t>crashes</t>
        </is>
      </c>
      <c r="E163" s="8" t="inlineStr">
        <is>
          <t>Safety data</t>
        </is>
      </c>
      <c r="F163" s="8" t="inlineStr">
        <is>
          <t>Public (GET)</t>
        </is>
      </c>
      <c r="G163" s="8" t="inlineStr">
        <is>
          <t>Individual crash records for the map (capped to keep payloads small).</t>
        </is>
      </c>
      <c r="H163" s="8" t="inlineStr">
        <is>
          <t>backend_proxy_server.js</t>
        </is>
      </c>
      <c r="I163" s="8" t="n">
        <v>6019</v>
      </c>
    </row>
    <row r="164">
      <c r="A164" s="5" t="n">
        <v>163</v>
      </c>
      <c r="B164" s="6" t="inlineStr">
        <is>
          <t>GET</t>
        </is>
      </c>
      <c r="C164" s="7" t="inlineStr">
        <is>
          <t>/api/crashes/live</t>
        </is>
      </c>
      <c r="D164" s="5" t="inlineStr">
        <is>
          <t>crashes</t>
        </is>
      </c>
      <c r="E164" s="5" t="inlineStr">
        <is>
          <t>Safety data</t>
        </is>
      </c>
      <c r="F164" s="5" t="inlineStr">
        <is>
          <t>Public (GET)</t>
        </is>
      </c>
      <c r="G164" s="5" t="inlineStr"/>
      <c r="H164" s="5" t="inlineStr">
        <is>
          <t>backend_proxy_server.js</t>
        </is>
      </c>
      <c r="I164" s="5" t="n">
        <v>5809</v>
      </c>
    </row>
    <row r="165">
      <c r="A165" s="8" t="n">
        <v>164</v>
      </c>
      <c r="B165" s="9" t="inlineStr">
        <is>
          <t>POST</t>
        </is>
      </c>
      <c r="C165" s="10" t="inlineStr">
        <is>
          <t>/api/crashes/refresh</t>
        </is>
      </c>
      <c r="D165" s="8" t="inlineStr">
        <is>
          <t>crashes</t>
        </is>
      </c>
      <c r="E165" s="8" t="inlineStr">
        <is>
          <t>Safety data</t>
        </is>
      </c>
      <c r="F165" s="8" t="inlineStr">
        <is>
          <t>requireAdmin</t>
        </is>
      </c>
      <c r="G165" s="8" t="inlineStr">
        <is>
          <t>Manual refresh trigger (admin). Heavy + idempotent; coalesced server-side. Optional body: { years: [..], bufferMiles: n }</t>
        </is>
      </c>
      <c r="H165" s="8" t="inlineStr">
        <is>
          <t>backend_proxy_server.js</t>
        </is>
      </c>
      <c r="I165" s="8" t="n">
        <v>6044</v>
      </c>
    </row>
    <row r="166">
      <c r="A166" s="5" t="n">
        <v>165</v>
      </c>
      <c r="B166" s="11" t="inlineStr">
        <is>
          <t>POST</t>
        </is>
      </c>
      <c r="C166" s="7" t="inlineStr">
        <is>
          <t>/api/crashes/report</t>
        </is>
      </c>
      <c r="D166" s="5" t="inlineStr">
        <is>
          <t>crashes</t>
        </is>
      </c>
      <c r="E166" s="5" t="inlineStr">
        <is>
          <t>Safety data</t>
        </is>
      </c>
      <c r="F166" s="5" t="inlineStr">
        <is>
          <t>Write - check handler</t>
        </is>
      </c>
      <c r="G166" s="5" t="inlineStr">
        <is>
          <t>AI-drafted corridor crash report (OpenAI). Recomputes the selected stats server-side (don't trust client numbers), then asks the model to write a concise DOT safety brief. gpt-4o-mini keeps the per-report cost ~a fraction of a cent. Body: { corridor?: 'I-80'|'I-35'|'Both', year?: 'all'|&lt;number&gt; }</t>
        </is>
      </c>
      <c r="H166" s="5" t="inlineStr">
        <is>
          <t>backend_proxy_server.js</t>
        </is>
      </c>
      <c r="I166" s="5" t="n">
        <v>6061</v>
      </c>
    </row>
    <row r="167">
      <c r="A167" s="8" t="n">
        <v>166</v>
      </c>
      <c r="B167" s="12" t="inlineStr">
        <is>
          <t>GET</t>
        </is>
      </c>
      <c r="C167" s="10" t="inlineStr">
        <is>
          <t>/api/crashes/stats</t>
        </is>
      </c>
      <c r="D167" s="8" t="inlineStr">
        <is>
          <t>crashes</t>
        </is>
      </c>
      <c r="E167" s="8" t="inlineStr">
        <is>
          <t>Safety data</t>
        </is>
      </c>
      <c r="F167" s="8" t="inlineStr">
        <is>
          <t>Public (GET)</t>
        </is>
      </c>
      <c r="G167" s="8" t="inlineStr">
        <is>
          <t xml:space="preserve"> COST NOTE: this returns the FULL per-(corridor × year) breakdown in one tiny payload (~a dozen rows) regardless of query params, so the client loads it ONCE and does all year/interstate filtering locally — no repeat calls. The optional query filters still scope the top-level `summary` block for dir</t>
        </is>
      </c>
      <c r="H167" s="8" t="inlineStr">
        <is>
          <t>backend_proxy_server.js</t>
        </is>
      </c>
      <c r="I167" s="8" t="n">
        <v>5952</v>
      </c>
    </row>
    <row r="168">
      <c r="A168" s="5" t="n">
        <v>167</v>
      </c>
      <c r="B168" s="11" t="inlineStr">
        <is>
          <t>POST</t>
        </is>
      </c>
      <c r="C168" s="7" t="inlineStr">
        <is>
          <t>/api/cv/broadcast/:messageId</t>
        </is>
      </c>
      <c r="D168" s="5" t="inlineStr">
        <is>
          <t>cv</t>
        </is>
      </c>
      <c r="E168" s="5" t="inlineStr">
        <is>
          <t>ITS / infrastructure</t>
        </is>
      </c>
      <c r="F168" s="5" t="inlineStr">
        <is>
          <t>Write - check handler</t>
        </is>
      </c>
      <c r="G168" s="5" t="inlineStr">
        <is>
          <t>Broadcast TIM message to RSUs</t>
        </is>
      </c>
      <c r="H168" s="5" t="inlineStr">
        <is>
          <t>backend_proxy_server.js</t>
        </is>
      </c>
      <c r="I168" s="5" t="n">
        <v>12268</v>
      </c>
    </row>
    <row r="169">
      <c r="A169" s="8" t="n">
        <v>168</v>
      </c>
      <c r="B169" s="9" t="inlineStr">
        <is>
          <t>POST</t>
        </is>
      </c>
      <c r="C169" s="10" t="inlineStr">
        <is>
          <t>/api/cv/generate-tim</t>
        </is>
      </c>
      <c r="D169" s="8" t="inlineStr">
        <is>
          <t>cv</t>
        </is>
      </c>
      <c r="E169" s="8" t="inlineStr">
        <is>
          <t>ITS / infrastructure</t>
        </is>
      </c>
      <c r="F169" s="8" t="inlineStr">
        <is>
          <t>Write - check handler</t>
        </is>
      </c>
      <c r="G169" s="8" t="inlineStr">
        <is>
          <t>Generate TIM message for an event</t>
        </is>
      </c>
      <c r="H169" s="8" t="inlineStr">
        <is>
          <t>backend_proxy_server.js</t>
        </is>
      </c>
      <c r="I169" s="8" t="n">
        <v>12084</v>
      </c>
    </row>
    <row r="170">
      <c r="A170" s="5" t="n">
        <v>169</v>
      </c>
      <c r="B170" s="6" t="inlineStr">
        <is>
          <t>GET</t>
        </is>
      </c>
      <c r="C170" s="7" t="inlineStr">
        <is>
          <t>/api/cv/messages</t>
        </is>
      </c>
      <c r="D170" s="5" t="inlineStr">
        <is>
          <t>cv</t>
        </is>
      </c>
      <c r="E170" s="5" t="inlineStr">
        <is>
          <t>ITS / infrastructure</t>
        </is>
      </c>
      <c r="F170" s="5" t="inlineStr">
        <is>
          <t>Public (GET)</t>
        </is>
      </c>
      <c r="G170" s="5" t="inlineStr">
        <is>
          <t>Get all active CV messages</t>
        </is>
      </c>
      <c r="H170" s="5" t="inlineStr">
        <is>
          <t>backend_proxy_server.js</t>
        </is>
      </c>
      <c r="I170" s="5" t="n">
        <v>12169</v>
      </c>
    </row>
    <row r="171">
      <c r="A171" s="8" t="n">
        <v>170</v>
      </c>
      <c r="B171" s="12" t="inlineStr">
        <is>
          <t>GET</t>
        </is>
      </c>
      <c r="C171" s="10" t="inlineStr">
        <is>
          <t>/api/cv/rsus</t>
        </is>
      </c>
      <c r="D171" s="8" t="inlineStr">
        <is>
          <t>cv</t>
        </is>
      </c>
      <c r="E171" s="8" t="inlineStr">
        <is>
          <t>ITS / infrastructure</t>
        </is>
      </c>
      <c r="F171" s="8" t="inlineStr">
        <is>
          <t>Public (GET)</t>
        </is>
      </c>
      <c r="G171" s="8" t="inlineStr">
        <is>
          <t>Get RSU inventory</t>
        </is>
      </c>
      <c r="H171" s="8" t="inlineStr">
        <is>
          <t>backend_proxy_server.js</t>
        </is>
      </c>
      <c r="I171" s="8" t="n">
        <v>12217</v>
      </c>
    </row>
    <row r="172">
      <c r="A172" s="5" t="n">
        <v>171</v>
      </c>
      <c r="B172" s="6" t="inlineStr">
        <is>
          <t>GET</t>
        </is>
      </c>
      <c r="C172" s="7" t="inlineStr">
        <is>
          <t>/api/cv/transmissions/:messageId</t>
        </is>
      </c>
      <c r="D172" s="5" t="inlineStr">
        <is>
          <t>cv</t>
        </is>
      </c>
      <c r="E172" s="5" t="inlineStr">
        <is>
          <t>ITS / infrastructure</t>
        </is>
      </c>
      <c r="F172" s="5" t="inlineStr">
        <is>
          <t>Public (GET)</t>
        </is>
      </c>
      <c r="G172" s="5" t="inlineStr">
        <is>
          <t>Get CV message transmission log</t>
        </is>
      </c>
      <c r="H172" s="5" t="inlineStr">
        <is>
          <t>backend_proxy_server.js</t>
        </is>
      </c>
      <c r="I172" s="5" t="n">
        <v>12343</v>
      </c>
    </row>
    <row r="173">
      <c r="A173" s="8" t="n">
        <v>172</v>
      </c>
      <c r="B173" s="12" t="inlineStr">
        <is>
          <t>GET</t>
        </is>
      </c>
      <c r="C173" s="10" t="inlineStr">
        <is>
          <t>/api/cwz/devices</t>
        </is>
      </c>
      <c r="D173" s="8" t="inlineStr">
        <is>
          <t>cwz</t>
        </is>
      </c>
      <c r="E173" s="8" t="inlineStr">
        <is>
          <t>Published feeds (CWZ 1.0)</t>
        </is>
      </c>
      <c r="F173" s="8" t="inlineStr">
        <is>
          <t>Public (GET)</t>
        </is>
      </c>
      <c r="G173" s="8" t="inlineStr">
        <is>
          <t>CWZ 1.0 / WZDx Device Feed — the connected devices and their auto-associated work zones (road_event_ids), served as a standards-native FeatureCollection.</t>
        </is>
      </c>
      <c r="H173" s="8" t="inlineStr">
        <is>
          <t>backend_proxy_server.js</t>
        </is>
      </c>
      <c r="I173" s="8" t="n">
        <v>6520</v>
      </c>
    </row>
    <row r="174">
      <c r="A174" s="5" t="n">
        <v>173</v>
      </c>
      <c r="B174" s="6" t="inlineStr">
        <is>
          <t>GET</t>
        </is>
      </c>
      <c r="C174" s="7" t="inlineStr">
        <is>
          <t>/api/cwz/events</t>
        </is>
      </c>
      <c r="D174" s="5" t="inlineStr">
        <is>
          <t>cwz</t>
        </is>
      </c>
      <c r="E174" s="5" t="inlineStr">
        <is>
          <t>Published feeds (CWZ 1.0)</t>
        </is>
      </c>
      <c r="F174" s="5" t="inlineStr">
        <is>
          <t>Public (GET)</t>
        </is>
      </c>
      <c r="G174" s="5" t="inlineStr">
        <is>
          <t>CWZ 1.0 / WZDx RoadEvent Feed — the elevated (connected) work zones: events that have a confirmed connected field device present.</t>
        </is>
      </c>
      <c r="H174" s="5" t="inlineStr">
        <is>
          <t>backend_proxy_server.js</t>
        </is>
      </c>
      <c r="I174" s="5" t="n">
        <v>6407</v>
      </c>
    </row>
    <row r="175">
      <c r="A175" s="8" t="n">
        <v>174</v>
      </c>
      <c r="B175" s="12" t="inlineStr">
        <is>
          <t>GET</t>
        </is>
      </c>
      <c r="C175" s="10" t="inlineStr">
        <is>
          <t>/api/data-quality/check-geometries</t>
        </is>
      </c>
      <c r="D175" s="8" t="inlineStr">
        <is>
          <t>data-quality</t>
        </is>
      </c>
      <c r="E175" s="8" t="inlineStr">
        <is>
          <t>Data quality</t>
        </is>
      </c>
      <c r="F175" s="8" t="inlineStr">
        <is>
          <t>Public (GET)</t>
        </is>
      </c>
      <c r="G175" s="8" t="inlineStr">
        <is>
          <t>Check corridor geometry status</t>
        </is>
      </c>
      <c r="H175" s="8" t="inlineStr">
        <is>
          <t>backend_proxy_server.js</t>
        </is>
      </c>
      <c r="I175" s="8" t="n">
        <v>21292</v>
      </c>
    </row>
    <row r="176">
      <c r="A176" s="5" t="n">
        <v>175</v>
      </c>
      <c r="B176" s="6" t="inlineStr">
        <is>
          <t>GET</t>
        </is>
      </c>
      <c r="C176" s="7" t="inlineStr">
        <is>
          <t>/api/data-quality/check-postgres</t>
        </is>
      </c>
      <c r="D176" s="5" t="inlineStr">
        <is>
          <t>data-quality</t>
        </is>
      </c>
      <c r="E176" s="5" t="inlineStr">
        <is>
          <t>Data quality</t>
        </is>
      </c>
      <c r="F176" s="5" t="inlineStr">
        <is>
          <t>Public (GET)</t>
        </is>
      </c>
      <c r="G176" s="5" t="inlineStr">
        <is>
          <t>Diagnostic endpoint to check PostgreSQL configuration</t>
        </is>
      </c>
      <c r="H176" s="5" t="inlineStr">
        <is>
          <t>backend_proxy_server.js</t>
        </is>
      </c>
      <c r="I176" s="5" t="n">
        <v>24598</v>
      </c>
    </row>
    <row r="177">
      <c r="A177" s="8" t="n">
        <v>176</v>
      </c>
      <c r="B177" s="12" t="inlineStr">
        <is>
          <t>GET</t>
        </is>
      </c>
      <c r="C177" s="10" t="inlineStr">
        <is>
          <t>/api/data-quality/corridor/:corridorId</t>
        </is>
      </c>
      <c r="D177" s="8" t="inlineStr">
        <is>
          <t>data-quality</t>
        </is>
      </c>
      <c r="E177" s="8" t="inlineStr">
        <is>
          <t>Data quality</t>
        </is>
      </c>
      <c r="F177" s="8" t="inlineStr">
        <is>
          <t>Public (GET)</t>
        </is>
      </c>
      <c r="G177" s="8" t="inlineStr">
        <is>
          <t>Get quality scores for a specific corridor (all services)</t>
        </is>
      </c>
      <c r="H177" s="8" t="inlineStr">
        <is>
          <t>backend_proxy_server.js</t>
        </is>
      </c>
      <c r="I177" s="8" t="n">
        <v>24367</v>
      </c>
    </row>
    <row r="178">
      <c r="A178" s="5" t="n">
        <v>177</v>
      </c>
      <c r="B178" s="6" t="inlineStr">
        <is>
          <t>GET</t>
        </is>
      </c>
      <c r="C178" s="7" t="inlineStr">
        <is>
          <t>/api/data-quality/corridor/:corridorId/service/:serviceTypeId</t>
        </is>
      </c>
      <c r="D178" s="5" t="inlineStr">
        <is>
          <t>data-quality</t>
        </is>
      </c>
      <c r="E178" s="5" t="inlineStr">
        <is>
          <t>Data quality</t>
        </is>
      </c>
      <c r="F178" s="5" t="inlineStr">
        <is>
          <t>Public (GET)</t>
        </is>
      </c>
      <c r="G178" s="5" t="inlineStr">
        <is>
          <t>Get detailed quality breakdown for specific corridor/service</t>
        </is>
      </c>
      <c r="H178" s="5" t="inlineStr">
        <is>
          <t>backend_proxy_server.js</t>
        </is>
      </c>
      <c r="I178" s="5" t="n">
        <v>24421</v>
      </c>
    </row>
    <row r="179">
      <c r="A179" s="8" t="n">
        <v>178</v>
      </c>
      <c r="B179" s="12" t="inlineStr">
        <is>
          <t>GET</t>
        </is>
      </c>
      <c r="C179" s="10" t="inlineStr">
        <is>
          <t>/api/data-quality/corridors</t>
        </is>
      </c>
      <c r="D179" s="8" t="inlineStr">
        <is>
          <t>data-quality</t>
        </is>
      </c>
      <c r="E179" s="8" t="inlineStr">
        <is>
          <t>Data quality</t>
        </is>
      </c>
      <c r="F179" s="8" t="inlineStr">
        <is>
          <t>Public (GET)</t>
        </is>
      </c>
      <c r="G179" s="8" t="inlineStr"/>
      <c r="H179" s="8" t="inlineStr">
        <is>
          <t>backend_proxy_server.js</t>
        </is>
      </c>
      <c r="I179" s="8" t="n">
        <v>20734</v>
      </c>
    </row>
    <row r="180">
      <c r="A180" s="5" t="n">
        <v>179</v>
      </c>
      <c r="B180" s="6" t="inlineStr">
        <is>
          <t>GET</t>
        </is>
      </c>
      <c r="C180" s="7" t="inlineStr">
        <is>
          <t>/api/data-quality/corridors/test</t>
        </is>
      </c>
      <c r="D180" s="5" t="inlineStr">
        <is>
          <t>data-quality</t>
        </is>
      </c>
      <c r="E180" s="5" t="inlineStr">
        <is>
          <t>Data quality</t>
        </is>
      </c>
      <c r="F180" s="5" t="inlineStr">
        <is>
          <t>Public (GET)</t>
        </is>
      </c>
      <c r="G180" s="5" t="inlineStr">
        <is>
          <t>Diagnostic endpoint to test corridors table (must come before /corridors route)</t>
        </is>
      </c>
      <c r="H180" s="5" t="inlineStr">
        <is>
          <t>backend_proxy_server.js</t>
        </is>
      </c>
      <c r="I180" s="5" t="n">
        <v>20702</v>
      </c>
    </row>
    <row r="181">
      <c r="A181" s="8" t="n">
        <v>180</v>
      </c>
      <c r="B181" s="12" t="inlineStr">
        <is>
          <t>GET</t>
        </is>
      </c>
      <c r="C181" s="10" t="inlineStr">
        <is>
          <t>/api/data-quality/coverage-gaps</t>
        </is>
      </c>
      <c r="D181" s="8" t="inlineStr">
        <is>
          <t>data-quality</t>
        </is>
      </c>
      <c r="E181" s="8" t="inlineStr">
        <is>
          <t>Data quality</t>
        </is>
      </c>
      <c r="F181" s="8" t="inlineStr">
        <is>
          <t>Public (GET)</t>
        </is>
      </c>
      <c r="G181" s="8" t="inlineStr">
        <is>
          <t>Get coverage gap analysis - identifies market opportunities for vendors Shows corridors with insufficient vendor coverage, low quality, or missing service types</t>
        </is>
      </c>
      <c r="H181" s="8" t="inlineStr">
        <is>
          <t>backend_proxy_server.js</t>
        </is>
      </c>
      <c r="I181" s="8" t="n">
        <v>21486</v>
      </c>
    </row>
    <row r="182">
      <c r="A182" s="5" t="n">
        <v>181</v>
      </c>
      <c r="B182" s="11" t="inlineStr">
        <is>
          <t>POST</t>
        </is>
      </c>
      <c r="C182" s="7" t="inlineStr">
        <is>
          <t>/api/data-quality/cron/update-corridor-geometry</t>
        </is>
      </c>
      <c r="D182" s="5" t="inlineStr">
        <is>
          <t>data-quality</t>
        </is>
      </c>
      <c r="E182" s="5" t="inlineStr">
        <is>
          <t>Data quality</t>
        </is>
      </c>
      <c r="F182" s="5" t="inlineStr">
        <is>
          <t>Write - check handler</t>
        </is>
      </c>
      <c r="G182" s="5" t="inlineStr">
        <is>
          <t>Cron job endpoint: Process one corridor geometry at a time Called by Railway cron every 10 minutes to gradually populate all corridor geometries</t>
        </is>
      </c>
      <c r="H182" s="5" t="inlineStr">
        <is>
          <t>backend_proxy_server.js</t>
        </is>
      </c>
      <c r="I182" s="5" t="n">
        <v>21087</v>
      </c>
    </row>
    <row r="183">
      <c r="A183" s="8" t="n">
        <v>182</v>
      </c>
      <c r="B183" s="12" t="inlineStr">
        <is>
          <t>GET</t>
        </is>
      </c>
      <c r="C183" s="10" t="inlineStr">
        <is>
          <t>/api/data-quality/env-check</t>
        </is>
      </c>
      <c r="D183" s="8" t="inlineStr">
        <is>
          <t>data-quality</t>
        </is>
      </c>
      <c r="E183" s="8" t="inlineStr">
        <is>
          <t>Data quality</t>
        </is>
      </c>
      <c r="F183" s="8" t="inlineStr">
        <is>
          <t>Public (GET)</t>
        </is>
      </c>
      <c r="G183" s="8" t="inlineStr">
        <is>
          <t>Diagnostic endpoint to list environment variables (keys only)</t>
        </is>
      </c>
      <c r="H183" s="8" t="inlineStr">
        <is>
          <t>backend_proxy_server.js</t>
        </is>
      </c>
      <c r="I183" s="8" t="n">
        <v>24585</v>
      </c>
    </row>
    <row r="184">
      <c r="A184" s="5" t="n">
        <v>183</v>
      </c>
      <c r="B184" s="11" t="inlineStr">
        <is>
          <t>POST</t>
        </is>
      </c>
      <c r="C184" s="7" t="inlineStr">
        <is>
          <t>/api/data-quality/fix-corridor-geometries</t>
        </is>
      </c>
      <c r="D184" s="5" t="inlineStr">
        <is>
          <t>data-quality</t>
        </is>
      </c>
      <c r="E184" s="5" t="inlineStr">
        <is>
          <t>Data quality</t>
        </is>
      </c>
      <c r="F184" s="5" t="inlineStr">
        <is>
          <t>Write - check handler</t>
        </is>
      </c>
      <c r="G184" s="5" t="inlineStr">
        <is>
          <t>Fix fragmented TETC corridor geometries by sorting coordinates geographically</t>
        </is>
      </c>
      <c r="H184" s="5" t="inlineStr">
        <is>
          <t>backend_proxy_server.js</t>
        </is>
      </c>
      <c r="I184" s="5" t="n">
        <v>39348</v>
      </c>
    </row>
    <row r="185">
      <c r="A185" s="8" t="n">
        <v>184</v>
      </c>
      <c r="B185" s="12" t="inlineStr">
        <is>
          <t>GET</t>
        </is>
      </c>
      <c r="C185" s="10" t="inlineStr">
        <is>
          <t>/api/data-quality/gap-analysis</t>
        </is>
      </c>
      <c r="D185" s="8" t="inlineStr">
        <is>
          <t>data-quality</t>
        </is>
      </c>
      <c r="E185" s="8" t="inlineStr">
        <is>
          <t>Data quality</t>
        </is>
      </c>
      <c r="F185" s="8" t="inlineStr">
        <is>
          <t>Public (GET)</t>
        </is>
      </c>
      <c r="G185" s="8" t="inlineStr">
        <is>
          <t>Get field-level gap analysis for data feeds Shows vendors exactly what dimensions need improvement and potential DQI increase</t>
        </is>
      </c>
      <c r="H185" s="8" t="inlineStr">
        <is>
          <t>backend_proxy_server.js</t>
        </is>
      </c>
      <c r="I185" s="8" t="n">
        <v>21352</v>
      </c>
    </row>
    <row r="186">
      <c r="A186" s="5" t="n">
        <v>185</v>
      </c>
      <c r="B186" s="6" t="inlineStr">
        <is>
          <t>GET</t>
        </is>
      </c>
      <c r="C186" s="7" t="inlineStr">
        <is>
          <t>/api/data-quality/history/:stateKey</t>
        </is>
      </c>
      <c r="D186" s="5" t="inlineStr">
        <is>
          <t>data-quality</t>
        </is>
      </c>
      <c r="E186" s="5" t="inlineStr">
        <is>
          <t>Data quality</t>
        </is>
      </c>
      <c r="F186" s="5" t="inlineStr">
        <is>
          <t>Public (GET)</t>
        </is>
      </c>
      <c r="G186" s="5" t="inlineStr">
        <is>
          <t>Get quality metrics history for a specific state GET /api/data-quality/history/:stateKey?days=90</t>
        </is>
      </c>
      <c r="H186" s="5" t="inlineStr">
        <is>
          <t>backend_proxy_server.js</t>
        </is>
      </c>
      <c r="I186" s="5" t="n">
        <v>22347</v>
      </c>
    </row>
    <row r="187">
      <c r="A187" s="8" t="n">
        <v>186</v>
      </c>
      <c r="B187" s="12" t="inlineStr">
        <is>
          <t>GET</t>
        </is>
      </c>
      <c r="C187" s="10" t="inlineStr">
        <is>
          <t>/api/data-quality/leaderboard</t>
        </is>
      </c>
      <c r="D187" s="8" t="inlineStr">
        <is>
          <t>data-quality</t>
        </is>
      </c>
      <c r="E187" s="8" t="inlineStr">
        <is>
          <t>Data quality</t>
        </is>
      </c>
      <c r="F187" s="8" t="inlineStr">
        <is>
          <t>Public (GET)</t>
        </is>
      </c>
      <c r="G187" s="8" t="inlineStr">
        <is>
          <t>Get vendor leaderboard with rankings and achievements</t>
        </is>
      </c>
      <c r="H187" s="8" t="inlineStr">
        <is>
          <t>backend_proxy_server.js</t>
        </is>
      </c>
      <c r="I187" s="8" t="n">
        <v>21714</v>
      </c>
    </row>
    <row r="188">
      <c r="A188" s="5" t="n">
        <v>187</v>
      </c>
      <c r="B188" s="11" t="inlineStr">
        <is>
          <t>POST</t>
        </is>
      </c>
      <c r="C188" s="7" t="inlineStr">
        <is>
          <t>/api/data-quality/migrate</t>
        </is>
      </c>
      <c r="D188" s="5" t="inlineStr">
        <is>
          <t>data-quality</t>
        </is>
      </c>
      <c r="E188" s="5" t="inlineStr">
        <is>
          <t>Data quality</t>
        </is>
      </c>
      <c r="F188" s="5" t="inlineStr">
        <is>
          <t>Write - check handler</t>
        </is>
      </c>
      <c r="G188" s="5" t="inlineStr">
        <is>
          <t>Run TETC Data Quality migrations (one-time setup)</t>
        </is>
      </c>
      <c r="H188" s="5" t="inlineStr">
        <is>
          <t>backend_proxy_server.js</t>
        </is>
      </c>
      <c r="I188" s="5" t="n">
        <v>24490</v>
      </c>
    </row>
    <row r="189">
      <c r="A189" s="8" t="n">
        <v>188</v>
      </c>
      <c r="B189" s="12" t="inlineStr">
        <is>
          <t>GET</t>
        </is>
      </c>
      <c r="C189" s="10" t="inlineStr">
        <is>
          <t>/api/data-quality/national-report-cards</t>
        </is>
      </c>
      <c r="D189" s="8" t="inlineStr">
        <is>
          <t>data-quality</t>
        </is>
      </c>
      <c r="E189" s="8" t="inlineStr">
        <is>
          <t>Data quality</t>
        </is>
      </c>
      <c r="F189" s="8" t="inlineStr">
        <is>
          <t>Public (GET)</t>
        </is>
      </c>
      <c r="G189" s="8" t="inlineStr">
        <is>
          <t>Get all state report cards (national overview) GET /api/data-quality/national-report-cards</t>
        </is>
      </c>
      <c r="H189" s="8" t="inlineStr">
        <is>
          <t>backend_proxy_server.js</t>
        </is>
      </c>
      <c r="I189" s="8" t="n">
        <v>22416</v>
      </c>
    </row>
    <row r="190">
      <c r="A190" s="5" t="n">
        <v>189</v>
      </c>
      <c r="B190" s="11" t="inlineStr">
        <is>
          <t>POST</t>
        </is>
      </c>
      <c r="C190" s="7" t="inlineStr">
        <is>
          <t>/api/data-quality/populate-geometries</t>
        </is>
      </c>
      <c r="D190" s="5" t="inlineStr">
        <is>
          <t>data-quality</t>
        </is>
      </c>
      <c r="E190" s="5" t="inlineStr">
        <is>
          <t>Data quality</t>
        </is>
      </c>
      <c r="F190" s="5" t="inlineStr">
        <is>
          <t>Write - check handler</t>
        </is>
      </c>
      <c r="G190" s="5" t="inlineStr">
        <is>
          <t>Populate TETC corridor geometries from OpenStreetMap Optional body parameter: corridor_id - if provided, only process that corridor</t>
        </is>
      </c>
      <c r="H190" s="5" t="inlineStr">
        <is>
          <t>backend_proxy_server.js</t>
        </is>
      </c>
      <c r="I190" s="5" t="n">
        <v>20814</v>
      </c>
    </row>
    <row r="191">
      <c r="A191" s="8" t="n">
        <v>190</v>
      </c>
      <c r="B191" s="12" t="inlineStr">
        <is>
          <t>GET</t>
        </is>
      </c>
      <c r="C191" s="10" t="inlineStr">
        <is>
          <t>/api/data-quality/report-card/:stateKey</t>
        </is>
      </c>
      <c r="D191" s="8" t="inlineStr">
        <is>
          <t>data-quality</t>
        </is>
      </c>
      <c r="E191" s="8" t="inlineStr">
        <is>
          <t>Data quality</t>
        </is>
      </c>
      <c r="F191" s="8" t="inlineStr">
        <is>
          <t>Public (GET)</t>
        </is>
      </c>
      <c r="G191" s="8" t="inlineStr">
        <is>
          <t>- Current quality metrics (all 7 dimensions) - Historical trend (30/90 day comparison) - National ranking - Peer state comparisons - Actionable recommendations - Vendor/contract information</t>
        </is>
      </c>
      <c r="H191" s="8" t="inlineStr">
        <is>
          <t>backend_proxy_server.js</t>
        </is>
      </c>
      <c r="I191" s="8" t="n">
        <v>22139</v>
      </c>
    </row>
    <row r="192">
      <c r="A192" s="5" t="n">
        <v>191</v>
      </c>
      <c r="B192" s="6" t="inlineStr">
        <is>
          <t>GET</t>
        </is>
      </c>
      <c r="C192" s="7" t="inlineStr">
        <is>
          <t>/api/data-quality/service-types</t>
        </is>
      </c>
      <c r="D192" s="5" t="inlineStr">
        <is>
          <t>data-quality</t>
        </is>
      </c>
      <c r="E192" s="5" t="inlineStr">
        <is>
          <t>Data quality</t>
        </is>
      </c>
      <c r="F192" s="5" t="inlineStr">
        <is>
          <t>Public (GET)</t>
        </is>
      </c>
      <c r="G192" s="5" t="inlineStr">
        <is>
          <t>Get all service types</t>
        </is>
      </c>
      <c r="H192" s="5" t="inlineStr">
        <is>
          <t>backend_proxy_server.js</t>
        </is>
      </c>
      <c r="I192" s="5" t="n">
        <v>24473</v>
      </c>
    </row>
    <row r="193">
      <c r="A193" s="8" t="n">
        <v>192</v>
      </c>
      <c r="B193" s="12" t="inlineStr">
        <is>
          <t>GET</t>
        </is>
      </c>
      <c r="C193" s="10" t="inlineStr">
        <is>
          <t>/api/data-quality/state-rankings</t>
        </is>
      </c>
      <c r="D193" s="8" t="inlineStr">
        <is>
          <t>data-quality</t>
        </is>
      </c>
      <c r="E193" s="8" t="inlineStr">
        <is>
          <t>Data quality</t>
        </is>
      </c>
      <c r="F193" s="8" t="inlineStr">
        <is>
          <t>Public (GET)</t>
        </is>
      </c>
      <c r="G193" s="8" t="inlineStr">
        <is>
          <t>State Quality Dashboards - Phase 4 of "Better than NAPCORE" Aggregates data quality metrics by state for competitive state rankings</t>
        </is>
      </c>
      <c r="H193" s="8" t="inlineStr">
        <is>
          <t>backend_proxy_server.js</t>
        </is>
      </c>
      <c r="I193" s="8" t="n">
        <v>21855</v>
      </c>
    </row>
    <row r="194">
      <c r="A194" s="5" t="n">
        <v>193</v>
      </c>
      <c r="B194" s="6" t="inlineStr">
        <is>
          <t>GET</t>
        </is>
      </c>
      <c r="C194" s="7" t="inlineStr">
        <is>
          <t>/api/data-quality/summary</t>
        </is>
      </c>
      <c r="D194" s="5" t="inlineStr">
        <is>
          <t>data-quality</t>
        </is>
      </c>
      <c r="E194" s="5" t="inlineStr">
        <is>
          <t>Data quality</t>
        </is>
      </c>
      <c r="F194" s="5" t="inlineStr">
        <is>
          <t>Public (GET)</t>
        </is>
      </c>
      <c r="G194" s="5" t="inlineStr">
        <is>
          <t>Get TETC Data Quality summary for dashboard</t>
        </is>
      </c>
      <c r="H194" s="5" t="inlineStr">
        <is>
          <t>backend_proxy_server.js</t>
        </is>
      </c>
      <c r="I194" s="5" t="n">
        <v>24657</v>
      </c>
    </row>
    <row r="195">
      <c r="A195" s="8" t="n">
        <v>194</v>
      </c>
      <c r="B195" s="12" t="inlineStr">
        <is>
          <t>GET</t>
        </is>
      </c>
      <c r="C195" s="10" t="inlineStr">
        <is>
          <t>/api/data-quality/trending-summary</t>
        </is>
      </c>
      <c r="D195" s="8" t="inlineStr">
        <is>
          <t>data-quality</t>
        </is>
      </c>
      <c r="E195" s="8" t="inlineStr">
        <is>
          <t>Data quality</t>
        </is>
      </c>
      <c r="F195" s="8" t="inlineStr">
        <is>
          <t>Public (GET)</t>
        </is>
      </c>
      <c r="G195" s="8" t="inlineStr">
        <is>
          <t>Historical Trending - Phase 5 Returns progress metrics showing improvement over time</t>
        </is>
      </c>
      <c r="H195" s="8" t="inlineStr">
        <is>
          <t>backend_proxy_server.js</t>
        </is>
      </c>
      <c r="I195" s="8" t="n">
        <v>22083</v>
      </c>
    </row>
    <row r="196">
      <c r="A196" s="5" t="n">
        <v>195</v>
      </c>
      <c r="B196" s="11" t="inlineStr">
        <is>
          <t>POST</t>
        </is>
      </c>
      <c r="C196" s="7" t="inlineStr">
        <is>
          <t>/api/data-quality/vote</t>
        </is>
      </c>
      <c r="D196" s="5" t="inlineStr">
        <is>
          <t>data-quality</t>
        </is>
      </c>
      <c r="E196" s="5" t="inlineStr">
        <is>
          <t>Data quality</t>
        </is>
      </c>
      <c r="F196" s="5" t="inlineStr">
        <is>
          <t>Write - check handler</t>
        </is>
      </c>
      <c r="G196" s="5" t="inlineStr">
        <is>
          <t>Submit a vote for a data feed quality score</t>
        </is>
      </c>
      <c r="H196" s="5" t="inlineStr">
        <is>
          <t>backend_proxy_server.js</t>
        </is>
      </c>
      <c r="I196" s="5" t="n">
        <v>24733</v>
      </c>
    </row>
    <row r="197">
      <c r="A197" s="8" t="n">
        <v>196</v>
      </c>
      <c r="B197" s="12" t="inlineStr">
        <is>
          <t>GET</t>
        </is>
      </c>
      <c r="C197" s="10" t="inlineStr">
        <is>
          <t>/api/data-quality/votes</t>
        </is>
      </c>
      <c r="D197" s="8" t="inlineStr">
        <is>
          <t>data-quality</t>
        </is>
      </c>
      <c r="E197" s="8" t="inlineStr">
        <is>
          <t>Data quality</t>
        </is>
      </c>
      <c r="F197" s="8" t="inlineStr">
        <is>
          <t>Public (GET)</t>
        </is>
      </c>
      <c r="G197" s="8" t="inlineStr">
        <is>
          <t>Get vote counts for all feeds</t>
        </is>
      </c>
      <c r="H197" s="8" t="inlineStr">
        <is>
          <t>backend_proxy_server.js</t>
        </is>
      </c>
      <c r="I197" s="8" t="n">
        <v>24828</v>
      </c>
    </row>
    <row r="198">
      <c r="A198" s="5" t="n">
        <v>197</v>
      </c>
      <c r="B198" s="6" t="inlineStr">
        <is>
          <t>GET</t>
        </is>
      </c>
      <c r="C198" s="7" t="inlineStr">
        <is>
          <t>/api/db-status</t>
        </is>
      </c>
      <c r="D198" s="5" t="inlineStr">
        <is>
          <t>db-status</t>
        </is>
      </c>
      <c r="E198" s="5" t="inlineStr">
        <is>
          <t>Platform</t>
        </is>
      </c>
      <c r="F198" s="5" t="inlineStr">
        <is>
          <t>Public (GET)</t>
        </is>
      </c>
      <c r="G198" s="5" t="inlineStr">
        <is>
          <t>Database diagnostic endpoint</t>
        </is>
      </c>
      <c r="H198" s="5" t="inlineStr">
        <is>
          <t>backend_proxy_server.js</t>
        </is>
      </c>
      <c r="I198" s="5" t="n">
        <v>7278</v>
      </c>
    </row>
    <row r="199">
      <c r="A199" s="8" t="n">
        <v>198</v>
      </c>
      <c r="B199" s="12" t="inlineStr">
        <is>
          <t>GET</t>
        </is>
      </c>
      <c r="C199" s="10" t="inlineStr">
        <is>
          <t>/api/debug/coordinates</t>
        </is>
      </c>
      <c r="D199" s="8" t="inlineStr">
        <is>
          <t>debug</t>
        </is>
      </c>
      <c r="E199" s="8" t="inlineStr">
        <is>
          <t>Platform</t>
        </is>
      </c>
      <c r="F199" s="8" t="inlineStr">
        <is>
          <t>Public (GET)</t>
        </is>
      </c>
      <c r="G199" s="8" t="inlineStr">
        <is>
          <t>Debug endpoint to check coordinate extraction</t>
        </is>
      </c>
      <c r="H199" s="8" t="inlineStr">
        <is>
          <t>backend_proxy_server.js</t>
        </is>
      </c>
      <c r="I199" s="8" t="n">
        <v>7774</v>
      </c>
    </row>
    <row r="200">
      <c r="A200" s="5" t="n">
        <v>199</v>
      </c>
      <c r="B200" s="6" t="inlineStr">
        <is>
          <t>GET</t>
        </is>
      </c>
      <c r="C200" s="7" t="inlineStr">
        <is>
          <t>/api/debug/geometries</t>
        </is>
      </c>
      <c r="D200" s="5" t="inlineStr">
        <is>
          <t>debug</t>
        </is>
      </c>
      <c r="E200" s="5" t="inlineStr">
        <is>
          <t>Platform</t>
        </is>
      </c>
      <c r="F200" s="5" t="inlineStr">
        <is>
          <t>Public (GET)</t>
        </is>
      </c>
      <c r="G200" s="5" t="inlineStr">
        <is>
          <t>Diagnostic endpoint to check Interstate geometries in database</t>
        </is>
      </c>
      <c r="H200" s="5" t="inlineStr">
        <is>
          <t>backend_proxy_server.js</t>
        </is>
      </c>
      <c r="I200" s="5" t="n">
        <v>6954</v>
      </c>
    </row>
    <row r="201">
      <c r="A201" s="8" t="n">
        <v>200</v>
      </c>
      <c r="B201" s="9" t="inlineStr">
        <is>
          <t>POST</t>
        </is>
      </c>
      <c r="C201" s="10" t="inlineStr">
        <is>
          <t>/api/decompress/spatial-temporal</t>
        </is>
      </c>
      <c r="D201" s="8" t="inlineStr">
        <is>
          <t>decompress</t>
        </is>
      </c>
      <c r="E201" s="8" t="inlineStr">
        <is>
          <t>Utility</t>
        </is>
      </c>
      <c r="F201" s="8" t="inlineStr">
        <is>
          <t>Write - check handler</t>
        </is>
      </c>
      <c r="G201" s="8" t="inlineStr"/>
      <c r="H201" s="8" t="inlineStr">
        <is>
          <t>ml-integrations.js</t>
        </is>
      </c>
      <c r="I201" s="8" t="n">
        <v>430</v>
      </c>
    </row>
    <row r="202">
      <c r="A202" s="5" t="n">
        <v>201</v>
      </c>
      <c r="B202" s="6" t="inlineStr">
        <is>
          <t>GET</t>
        </is>
      </c>
      <c r="C202" s="7" t="inlineStr">
        <is>
          <t>/api/detour-alerts/active</t>
        </is>
      </c>
      <c r="D202" s="5" t="inlineStr">
        <is>
          <t>detour-alerts</t>
        </is>
      </c>
      <c r="E202" s="5" t="inlineStr">
        <is>
          <t>Corridor ops</t>
        </is>
      </c>
      <c r="F202" s="5" t="inlineStr">
        <is>
          <t>Public (GET)</t>
        </is>
      </c>
      <c r="G202" s="5" t="inlineStr"/>
      <c r="H202" s="5" t="inlineStr">
        <is>
          <t>backend_proxy_server.js</t>
        </is>
      </c>
      <c r="I202" s="5" t="n">
        <v>18758</v>
      </c>
    </row>
    <row r="203">
      <c r="A203" s="8" t="n">
        <v>202</v>
      </c>
      <c r="B203" s="12" t="inlineStr">
        <is>
          <t>GET</t>
        </is>
      </c>
      <c r="C203" s="10" t="inlineStr">
        <is>
          <t>/api/devices</t>
        </is>
      </c>
      <c r="D203" s="8" t="inlineStr">
        <is>
          <t>devices</t>
        </is>
      </c>
      <c r="E203" s="8" t="inlineStr">
        <is>
          <t>Validation</t>
        </is>
      </c>
      <c r="F203" s="8" t="inlineStr">
        <is>
          <t>Public (GET)</t>
        </is>
      </c>
      <c r="G203" s="8" t="inlineStr">
        <is>
          <t>Connected field devices (arrow boards / portable DMS) and their auto-association to work-zone events. Populated during the event-cache refresh (fetchAndCacheEvents).</t>
        </is>
      </c>
      <c r="H203" s="8" t="inlineStr">
        <is>
          <t>backend_proxy_server.js</t>
        </is>
      </c>
      <c r="I203" s="8" t="n">
        <v>6223</v>
      </c>
    </row>
    <row r="204">
      <c r="A204" s="5" t="n">
        <v>203</v>
      </c>
      <c r="B204" s="6" t="inlineStr">
        <is>
          <t>GET</t>
        </is>
      </c>
      <c r="C204" s="7" t="inlineStr">
        <is>
          <t>/api/devices/health</t>
        </is>
      </c>
      <c r="D204" s="5" t="inlineStr">
        <is>
          <t>devices</t>
        </is>
      </c>
      <c r="E204" s="5" t="inlineStr">
        <is>
          <t>Validation</t>
        </is>
      </c>
      <c r="F204" s="5" t="inlineStr">
        <is>
          <t>Public (GET)</t>
        </is>
      </c>
      <c r="G204" s="5" t="inlineStr">
        <is>
          <t>Validation monitoring for device↔work-zone associations: feed health, match quality, per-link validation flags, coverage, and a rolling trend.</t>
        </is>
      </c>
      <c r="H204" s="5" t="inlineStr">
        <is>
          <t>backend_proxy_server.js</t>
        </is>
      </c>
      <c r="I204" s="5" t="n">
        <v>6263</v>
      </c>
    </row>
    <row r="205">
      <c r="A205" s="8" t="n">
        <v>204</v>
      </c>
      <c r="B205" s="12" t="inlineStr">
        <is>
          <t>GET</t>
        </is>
      </c>
      <c r="C205" s="10" t="inlineStr">
        <is>
          <t>/api/digital-infrastructure/elements/:modelId</t>
        </is>
      </c>
      <c r="D205" s="8" t="inlineStr">
        <is>
          <t>digital-infrastructure</t>
        </is>
      </c>
      <c r="E205" s="8" t="inlineStr">
        <is>
          <t>ITS / infrastructure</t>
        </is>
      </c>
      <c r="F205" s="8" t="inlineStr">
        <is>
          <t>Public (GET)</t>
        </is>
      </c>
      <c r="G205" s="8" t="inlineStr">
        <is>
          <t>Get infrastructure elements for a model</t>
        </is>
      </c>
      <c r="H205" s="8" t="inlineStr">
        <is>
          <t>backend_proxy_server.js</t>
        </is>
      </c>
      <c r="I205" s="8" t="n">
        <v>28560</v>
      </c>
    </row>
    <row r="206">
      <c r="A206" s="5" t="n">
        <v>205</v>
      </c>
      <c r="B206" s="6" t="inlineStr">
        <is>
          <t>GET</t>
        </is>
      </c>
      <c r="C206" s="7" t="inlineStr">
        <is>
          <t>/api/digital-infrastructure/gap-report/:modelId</t>
        </is>
      </c>
      <c r="D206" s="5" t="inlineStr">
        <is>
          <t>digital-infrastructure</t>
        </is>
      </c>
      <c r="E206" s="5" t="inlineStr">
        <is>
          <t>ITS / infrastructure</t>
        </is>
      </c>
      <c r="F206" s="5" t="inlineStr">
        <is>
          <t>Public (GET)</t>
        </is>
      </c>
      <c r="G206" s="5" t="inlineStr">
        <is>
          <t>Export gap report as CSV</t>
        </is>
      </c>
      <c r="H206" s="5" t="inlineStr">
        <is>
          <t>backend_proxy_server.js</t>
        </is>
      </c>
      <c r="I206" s="5" t="n">
        <v>28928</v>
      </c>
    </row>
    <row r="207">
      <c r="A207" s="8" t="n">
        <v>206</v>
      </c>
      <c r="B207" s="12" t="inlineStr">
        <is>
          <t>GET</t>
        </is>
      </c>
      <c r="C207" s="10" t="inlineStr">
        <is>
          <t>/api/digital-infrastructure/gaps/:modelId</t>
        </is>
      </c>
      <c r="D207" s="8" t="inlineStr">
        <is>
          <t>digital-infrastructure</t>
        </is>
      </c>
      <c r="E207" s="8" t="inlineStr">
        <is>
          <t>ITS / infrastructure</t>
        </is>
      </c>
      <c r="F207" s="8" t="inlineStr">
        <is>
          <t>Public (GET)</t>
        </is>
      </c>
      <c r="G207" s="8" t="inlineStr">
        <is>
          <t>Get gap analysis for a model</t>
        </is>
      </c>
      <c r="H207" s="8" t="inlineStr">
        <is>
          <t>backend_proxy_server.js</t>
        </is>
      </c>
      <c r="I207" s="8" t="n">
        <v>28604</v>
      </c>
    </row>
    <row r="208">
      <c r="A208" s="5" t="n">
        <v>207</v>
      </c>
      <c r="B208" s="6" t="inlineStr">
        <is>
          <t>GET</t>
        </is>
      </c>
      <c r="C208" s="7" t="inlineStr">
        <is>
          <t>/api/digital-infrastructure/ids-export/:modelId</t>
        </is>
      </c>
      <c r="D208" s="5" t="inlineStr">
        <is>
          <t>digital-infrastructure</t>
        </is>
      </c>
      <c r="E208" s="5" t="inlineStr">
        <is>
          <t>ITS / infrastructure</t>
        </is>
      </c>
      <c r="F208" s="5" t="inlineStr">
        <is>
          <t>Public (GET)</t>
        </is>
      </c>
      <c r="G208" s="5" t="inlineStr">
        <is>
          <t>Export IDS (Information Delivery Specification) file</t>
        </is>
      </c>
      <c r="H208" s="5" t="inlineStr">
        <is>
          <t>backend_proxy_server.js</t>
        </is>
      </c>
      <c r="I208" s="5" t="n">
        <v>28997</v>
      </c>
    </row>
    <row r="209">
      <c r="A209" s="8" t="n">
        <v>208</v>
      </c>
      <c r="B209" s="12" t="inlineStr">
        <is>
          <t>GET</t>
        </is>
      </c>
      <c r="C209" s="10" t="inlineStr">
        <is>
          <t>/api/digital-infrastructure/models</t>
        </is>
      </c>
      <c r="D209" s="8" t="inlineStr">
        <is>
          <t>digital-infrastructure</t>
        </is>
      </c>
      <c r="E209" s="8" t="inlineStr">
        <is>
          <t>ITS / infrastructure</t>
        </is>
      </c>
      <c r="F209" s="8" t="inlineStr">
        <is>
          <t>Public (GET)</t>
        </is>
      </c>
      <c r="G209" s="8" t="inlineStr">
        <is>
          <t>List all IFC models</t>
        </is>
      </c>
      <c r="H209" s="8" t="inlineStr">
        <is>
          <t>backend_proxy_server.js</t>
        </is>
      </c>
      <c r="I209" s="8" t="n">
        <v>28310</v>
      </c>
    </row>
    <row r="210">
      <c r="A210" s="5" t="n">
        <v>209</v>
      </c>
      <c r="B210" s="13" t="inlineStr">
        <is>
          <t>DELETE</t>
        </is>
      </c>
      <c r="C210" s="7" t="inlineStr">
        <is>
          <t>/api/digital-infrastructure/models/:modelId</t>
        </is>
      </c>
      <c r="D210" s="5" t="inlineStr">
        <is>
          <t>digital-infrastructure</t>
        </is>
      </c>
      <c r="E210" s="5" t="inlineStr">
        <is>
          <t>ITS / infrastructure</t>
        </is>
      </c>
      <c r="F210" s="5" t="inlineStr">
        <is>
          <t>Write - check handler</t>
        </is>
      </c>
      <c r="G210" s="5" t="inlineStr">
        <is>
          <t>Delete IFC model and associated data</t>
        </is>
      </c>
      <c r="H210" s="5" t="inlineStr">
        <is>
          <t>backend_proxy_server.js</t>
        </is>
      </c>
      <c r="I210" s="5" t="n">
        <v>28733</v>
      </c>
    </row>
    <row r="211">
      <c r="A211" s="8" t="n">
        <v>210</v>
      </c>
      <c r="B211" s="12" t="inlineStr">
        <is>
          <t>GET</t>
        </is>
      </c>
      <c r="C211" s="10" t="inlineStr">
        <is>
          <t>/api/digital-infrastructure/models/:modelId</t>
        </is>
      </c>
      <c r="D211" s="8" t="inlineStr">
        <is>
          <t>digital-infrastructure</t>
        </is>
      </c>
      <c r="E211" s="8" t="inlineStr">
        <is>
          <t>ITS / infrastructure</t>
        </is>
      </c>
      <c r="F211" s="8" t="inlineStr">
        <is>
          <t>Public (GET)</t>
        </is>
      </c>
      <c r="G211" s="8" t="inlineStr">
        <is>
          <t>Get model details with statistics</t>
        </is>
      </c>
      <c r="H211" s="8" t="inlineStr">
        <is>
          <t>backend_proxy_server.js</t>
        </is>
      </c>
      <c r="I211" s="8" t="n">
        <v>28397</v>
      </c>
    </row>
    <row r="212">
      <c r="A212" s="5" t="n">
        <v>211</v>
      </c>
      <c r="B212" s="6" t="inlineStr">
        <is>
          <t>GET</t>
        </is>
      </c>
      <c r="C212" s="7" t="inlineStr">
        <is>
          <t>/api/digital-infrastructure/models/:modelId/file</t>
        </is>
      </c>
      <c r="D212" s="5" t="inlineStr">
        <is>
          <t>digital-infrastructure</t>
        </is>
      </c>
      <c r="E212" s="5" t="inlineStr">
        <is>
          <t>ITS / infrastructure</t>
        </is>
      </c>
      <c r="F212" s="5" t="inlineStr">
        <is>
          <t>Public (GET)</t>
        </is>
      </c>
      <c r="G212" s="5" t="inlineStr">
        <is>
          <t>Serve IFC file for 3D viewer</t>
        </is>
      </c>
      <c r="H212" s="5" t="inlineStr">
        <is>
          <t>backend_proxy_server.js</t>
        </is>
      </c>
      <c r="I212" s="5" t="n">
        <v>28487</v>
      </c>
    </row>
    <row r="213">
      <c r="A213" s="8" t="n">
        <v>212</v>
      </c>
      <c r="B213" s="12" t="inlineStr">
        <is>
          <t>GET</t>
        </is>
      </c>
      <c r="C213" s="10" t="inlineStr">
        <is>
          <t>/api/digital-infrastructure/standards-report/:modelId</t>
        </is>
      </c>
      <c r="D213" s="8" t="inlineStr">
        <is>
          <t>digital-infrastructure</t>
        </is>
      </c>
      <c r="E213" s="8" t="inlineStr">
        <is>
          <t>ITS / infrastructure</t>
        </is>
      </c>
      <c r="F213" s="8" t="inlineStr">
        <is>
          <t>Public (GET)</t>
        </is>
      </c>
      <c r="G213" s="8" t="inlineStr">
        <is>
          <t>Export comprehensive BIM standardization requirements document</t>
        </is>
      </c>
      <c r="H213" s="8" t="inlineStr">
        <is>
          <t>backend_proxy_server.js</t>
        </is>
      </c>
      <c r="I213" s="8" t="n">
        <v>29081</v>
      </c>
    </row>
    <row r="214">
      <c r="A214" s="5" t="n">
        <v>213</v>
      </c>
      <c r="B214" s="6" t="inlineStr">
        <is>
          <t>GET</t>
        </is>
      </c>
      <c r="C214" s="7" t="inlineStr">
        <is>
          <t>/api/digital-infrastructure/status</t>
        </is>
      </c>
      <c r="D214" s="5" t="inlineStr">
        <is>
          <t>digital-infrastructure</t>
        </is>
      </c>
      <c r="E214" s="5" t="inlineStr">
        <is>
          <t>ITS / infrastructure</t>
        </is>
      </c>
      <c r="F214" s="5" t="inlineStr">
        <is>
          <t>Public (GET)</t>
        </is>
      </c>
      <c r="G214" s="5" t="inlineStr">
        <is>
          <t>Diagnostic endpoint to check digital infrastructure readiness</t>
        </is>
      </c>
      <c r="H214" s="5" t="inlineStr">
        <is>
          <t>backend_proxy_server.js</t>
        </is>
      </c>
      <c r="I214" s="5" t="n">
        <v>27662</v>
      </c>
    </row>
    <row r="215">
      <c r="A215" s="8" t="n">
        <v>214</v>
      </c>
      <c r="B215" s="9" t="inlineStr">
        <is>
          <t>POST</t>
        </is>
      </c>
      <c r="C215" s="10" t="inlineStr">
        <is>
          <t>/api/digital-infrastructure/upload</t>
        </is>
      </c>
      <c r="D215" s="8" t="inlineStr">
        <is>
          <t>digital-infrastructure</t>
        </is>
      </c>
      <c r="E215" s="8" t="inlineStr">
        <is>
          <t>ITS / infrastructure</t>
        </is>
      </c>
      <c r="F215" s="8" t="inlineStr">
        <is>
          <t>Write - check handler</t>
        </is>
      </c>
      <c r="G215" s="8" t="inlineStr">
        <is>
          <t>Upload IFC/CAD model and extract infrastructure elements (multipart form)</t>
        </is>
      </c>
      <c r="H215" s="8" t="inlineStr">
        <is>
          <t>backend_proxy_server.js</t>
        </is>
      </c>
      <c r="I215" s="8" t="n">
        <v>27862</v>
      </c>
    </row>
    <row r="216">
      <c r="A216" s="5" t="n">
        <v>215</v>
      </c>
      <c r="B216" s="11" t="inlineStr">
        <is>
          <t>POST</t>
        </is>
      </c>
      <c r="C216" s="7" t="inlineStr">
        <is>
          <t>/api/digital-infrastructure/upload-base64</t>
        </is>
      </c>
      <c r="D216" s="5" t="inlineStr">
        <is>
          <t>digital-infrastructure</t>
        </is>
      </c>
      <c r="E216" s="5" t="inlineStr">
        <is>
          <t>ITS / infrastructure</t>
        </is>
      </c>
      <c r="F216" s="5" t="inlineStr">
        <is>
          <t>Write - check handler</t>
        </is>
      </c>
      <c r="G216" s="5" t="inlineStr">
        <is>
          <t>Base64 JSON upload endpoint (workaround for Railway edge blocking multipart)</t>
        </is>
      </c>
      <c r="H216" s="5" t="inlineStr">
        <is>
          <t>backend_proxy_server.js</t>
        </is>
      </c>
      <c r="I216" s="5" t="n">
        <v>27691</v>
      </c>
    </row>
    <row r="217">
      <c r="A217" s="8" t="n">
        <v>216</v>
      </c>
      <c r="B217" s="12" t="inlineStr">
        <is>
          <t>GET</t>
        </is>
      </c>
      <c r="C217" s="10" t="inlineStr">
        <is>
          <t>/api/diversion-routes</t>
        </is>
      </c>
      <c r="D217" s="8" t="inlineStr">
        <is>
          <t>diversion-routes</t>
        </is>
      </c>
      <c r="E217" s="8" t="inlineStr">
        <is>
          <t>Corridor ops</t>
        </is>
      </c>
      <c r="F217" s="8" t="inlineStr">
        <is>
          <t>Public (GET)</t>
        </is>
      </c>
      <c r="G217" s="8" t="inlineStr">
        <is>
          <t>GET all diversion routes</t>
        </is>
      </c>
      <c r="H217" s="8" t="inlineStr">
        <is>
          <t>backend_proxy_server.js</t>
        </is>
      </c>
      <c r="I217" s="8" t="n">
        <v>14402</v>
      </c>
    </row>
    <row r="218">
      <c r="A218" s="5" t="n">
        <v>217</v>
      </c>
      <c r="B218" s="11" t="inlineStr">
        <is>
          <t>POST</t>
        </is>
      </c>
      <c r="C218" s="7" t="inlineStr">
        <is>
          <t>/api/diversion-routes</t>
        </is>
      </c>
      <c r="D218" s="5" t="inlineStr">
        <is>
          <t>diversion-routes</t>
        </is>
      </c>
      <c r="E218" s="5" t="inlineStr">
        <is>
          <t>Corridor ops</t>
        </is>
      </c>
      <c r="F218" s="5" t="inlineStr">
        <is>
          <t>Write - check handler</t>
        </is>
      </c>
      <c r="G218" s="5" t="inlineStr">
        <is>
          <t>POST create new diversion route</t>
        </is>
      </c>
      <c r="H218" s="5" t="inlineStr">
        <is>
          <t>backend_proxy_server.js</t>
        </is>
      </c>
      <c r="I218" s="5" t="n">
        <v>14516</v>
      </c>
    </row>
    <row r="219">
      <c r="A219" s="8" t="n">
        <v>218</v>
      </c>
      <c r="B219" s="15" t="inlineStr">
        <is>
          <t>DELETE</t>
        </is>
      </c>
      <c r="C219" s="10" t="inlineStr">
        <is>
          <t>/api/diversion-routes/:id</t>
        </is>
      </c>
      <c r="D219" s="8" t="inlineStr">
        <is>
          <t>diversion-routes</t>
        </is>
      </c>
      <c r="E219" s="8" t="inlineStr">
        <is>
          <t>Corridor ops</t>
        </is>
      </c>
      <c r="F219" s="8" t="inlineStr">
        <is>
          <t>Write - check handler</t>
        </is>
      </c>
      <c r="G219" s="8" t="inlineStr">
        <is>
          <t>DELETE diversion route</t>
        </is>
      </c>
      <c r="H219" s="8" t="inlineStr">
        <is>
          <t>backend_proxy_server.js</t>
        </is>
      </c>
      <c r="I219" s="8" t="n">
        <v>14743</v>
      </c>
    </row>
    <row r="220">
      <c r="A220" s="5" t="n">
        <v>219</v>
      </c>
      <c r="B220" s="6" t="inlineStr">
        <is>
          <t>GET</t>
        </is>
      </c>
      <c r="C220" s="7" t="inlineStr">
        <is>
          <t>/api/diversion-routes/:id</t>
        </is>
      </c>
      <c r="D220" s="5" t="inlineStr">
        <is>
          <t>diversion-routes</t>
        </is>
      </c>
      <c r="E220" s="5" t="inlineStr">
        <is>
          <t>Corridor ops</t>
        </is>
      </c>
      <c r="F220" s="5" t="inlineStr">
        <is>
          <t>Public (GET)</t>
        </is>
      </c>
      <c r="G220" s="5" t="inlineStr">
        <is>
          <t>GET specific diversion route with segments and approvals</t>
        </is>
      </c>
      <c r="H220" s="5" t="inlineStr">
        <is>
          <t>backend_proxy_server.js</t>
        </is>
      </c>
      <c r="I220" s="5" t="n">
        <v>14456</v>
      </c>
    </row>
    <row r="221">
      <c r="A221" s="8" t="n">
        <v>220</v>
      </c>
      <c r="B221" s="14" t="inlineStr">
        <is>
          <t>PUT</t>
        </is>
      </c>
      <c r="C221" s="10" t="inlineStr">
        <is>
          <t>/api/diversion-routes/:id</t>
        </is>
      </c>
      <c r="D221" s="8" t="inlineStr">
        <is>
          <t>diversion-routes</t>
        </is>
      </c>
      <c r="E221" s="8" t="inlineStr">
        <is>
          <t>Corridor ops</t>
        </is>
      </c>
      <c r="F221" s="8" t="inlineStr">
        <is>
          <t>Write - check handler</t>
        </is>
      </c>
      <c r="G221" s="8" t="inlineStr">
        <is>
          <t>PUT update diversion route</t>
        </is>
      </c>
      <c r="H221" s="8" t="inlineStr">
        <is>
          <t>backend_proxy_server.js</t>
        </is>
      </c>
      <c r="I221" s="8" t="n">
        <v>14580</v>
      </c>
    </row>
    <row r="222">
      <c r="A222" s="5" t="n">
        <v>221</v>
      </c>
      <c r="B222" s="11" t="inlineStr">
        <is>
          <t>POST</t>
        </is>
      </c>
      <c r="C222" s="7" t="inlineStr">
        <is>
          <t>/api/diversion-routes/:id/activate</t>
        </is>
      </c>
      <c r="D222" s="5" t="inlineStr">
        <is>
          <t>diversion-routes</t>
        </is>
      </c>
      <c r="E222" s="5" t="inlineStr">
        <is>
          <t>Corridor ops</t>
        </is>
      </c>
      <c r="F222" s="5" t="inlineStr">
        <is>
          <t>Write - check handler</t>
        </is>
      </c>
      <c r="G222" s="5" t="inlineStr">
        <is>
          <t>POST activate diversion route</t>
        </is>
      </c>
      <c r="H222" s="5" t="inlineStr">
        <is>
          <t>backend_proxy_server.js</t>
        </is>
      </c>
      <c r="I222" s="5" t="n">
        <v>14667</v>
      </c>
    </row>
    <row r="223">
      <c r="A223" s="8" t="n">
        <v>222</v>
      </c>
      <c r="B223" s="12" t="inlineStr">
        <is>
          <t>GET</t>
        </is>
      </c>
      <c r="C223" s="10" t="inlineStr">
        <is>
          <t>/api/diversion-routes/activations</t>
        </is>
      </c>
      <c r="D223" s="8" t="inlineStr">
        <is>
          <t>diversion-routes</t>
        </is>
      </c>
      <c r="E223" s="8" t="inlineStr">
        <is>
          <t>Corridor ops</t>
        </is>
      </c>
      <c r="F223" s="8" t="inlineStr">
        <is>
          <t>Public (GET)</t>
        </is>
      </c>
      <c r="G223" s="8" t="inlineStr">
        <is>
          <t>GET recent diversion route activations</t>
        </is>
      </c>
      <c r="H223" s="8" t="inlineStr">
        <is>
          <t>backend_proxy_server.js</t>
        </is>
      </c>
      <c r="I223" s="8" t="n">
        <v>14641</v>
      </c>
    </row>
    <row r="224">
      <c r="A224" s="5" t="n">
        <v>223</v>
      </c>
      <c r="B224" s="11" t="inlineStr">
        <is>
          <t>POST</t>
        </is>
      </c>
      <c r="C224" s="7" t="inlineStr">
        <is>
          <t>/api/diversion-routes/activations/:activationId/deactivate</t>
        </is>
      </c>
      <c r="D224" s="5" t="inlineStr">
        <is>
          <t>diversion-routes</t>
        </is>
      </c>
      <c r="E224" s="5" t="inlineStr">
        <is>
          <t>Corridor ops</t>
        </is>
      </c>
      <c r="F224" s="5" t="inlineStr">
        <is>
          <t>Write - check handler</t>
        </is>
      </c>
      <c r="G224" s="5" t="inlineStr">
        <is>
          <t>POST deactivate diversion route</t>
        </is>
      </c>
      <c r="H224" s="5" t="inlineStr">
        <is>
          <t>backend_proxy_server.js</t>
        </is>
      </c>
      <c r="I224" s="5" t="n">
        <v>14699</v>
      </c>
    </row>
    <row r="225">
      <c r="A225" s="8" t="n">
        <v>224</v>
      </c>
      <c r="B225" s="12" t="inlineStr">
        <is>
          <t>GET</t>
        </is>
      </c>
      <c r="C225" s="10" t="inlineStr">
        <is>
          <t>/api/diversion-routes/auto-check/:eventId</t>
        </is>
      </c>
      <c r="D225" s="8" t="inlineStr">
        <is>
          <t>diversion-routes</t>
        </is>
      </c>
      <c r="E225" s="8" t="inlineStr">
        <is>
          <t>Corridor ops</t>
        </is>
      </c>
      <c r="F225" s="8" t="inlineStr">
        <is>
          <t>Public (GET)</t>
        </is>
      </c>
      <c r="G225" s="8" t="inlineStr">
        <is>
          <t>GET check auto-activation conditions for event</t>
        </is>
      </c>
      <c r="H225" s="8" t="inlineStr">
        <is>
          <t>backend_proxy_server.js</t>
        </is>
      </c>
      <c r="I225" s="8" t="n">
        <v>14778</v>
      </c>
    </row>
    <row r="226">
      <c r="A226" s="5" t="n">
        <v>225</v>
      </c>
      <c r="B226" s="11" t="inlineStr">
        <is>
          <t>POST</t>
        </is>
      </c>
      <c r="C226" s="7" t="inlineStr">
        <is>
          <t>/api/dms/activate</t>
        </is>
      </c>
      <c r="D226" s="5" t="inlineStr">
        <is>
          <t>dms</t>
        </is>
      </c>
      <c r="E226" s="5" t="inlineStr">
        <is>
          <t>Corridor ops / devices</t>
        </is>
      </c>
      <c r="F226" s="5" t="inlineStr">
        <is>
          <t>Write - check handler</t>
        </is>
      </c>
      <c r="G226" s="5" t="inlineStr">
        <is>
          <t>POST activate DMS message</t>
        </is>
      </c>
      <c r="H226" s="5" t="inlineStr">
        <is>
          <t>backend_proxy_server.js</t>
        </is>
      </c>
      <c r="I226" s="5" t="n">
        <v>13684</v>
      </c>
    </row>
    <row r="227">
      <c r="A227" s="8" t="n">
        <v>226</v>
      </c>
      <c r="B227" s="12" t="inlineStr">
        <is>
          <t>GET</t>
        </is>
      </c>
      <c r="C227" s="10" t="inlineStr">
        <is>
          <t>/api/dms/activations</t>
        </is>
      </c>
      <c r="D227" s="8" t="inlineStr">
        <is>
          <t>dms</t>
        </is>
      </c>
      <c r="E227" s="8" t="inlineStr">
        <is>
          <t>Corridor ops / devices</t>
        </is>
      </c>
      <c r="F227" s="8" t="inlineStr">
        <is>
          <t>Public (GET)</t>
        </is>
      </c>
      <c r="G227" s="8" t="inlineStr">
        <is>
          <t>GET DMS activation history</t>
        </is>
      </c>
      <c r="H227" s="8" t="inlineStr">
        <is>
          <t>backend_proxy_server.js</t>
        </is>
      </c>
      <c r="I227" s="8" t="n">
        <v>13769</v>
      </c>
    </row>
    <row r="228">
      <c r="A228" s="5" t="n">
        <v>227</v>
      </c>
      <c r="B228" s="11" t="inlineStr">
        <is>
          <t>POST</t>
        </is>
      </c>
      <c r="C228" s="7" t="inlineStr">
        <is>
          <t>/api/dms/auto-activate</t>
        </is>
      </c>
      <c r="D228" s="5" t="inlineStr">
        <is>
          <t>dms</t>
        </is>
      </c>
      <c r="E228" s="5" t="inlineStr">
        <is>
          <t>Corridor ops / devices</t>
        </is>
      </c>
      <c r="F228" s="5" t="inlineStr">
        <is>
          <t>Write - check handler</t>
        </is>
      </c>
      <c r="G228" s="5" t="inlineStr">
        <is>
          <t>Endpoint to manually trigger auto-DMS for an event</t>
        </is>
      </c>
      <c r="H228" s="5" t="inlineStr">
        <is>
          <t>backend_proxy_server.js</t>
        </is>
      </c>
      <c r="I228" s="5" t="n">
        <v>13391</v>
      </c>
    </row>
    <row r="229">
      <c r="A229" s="8" t="n">
        <v>228</v>
      </c>
      <c r="B229" s="12" t="inlineStr">
        <is>
          <t>GET</t>
        </is>
      </c>
      <c r="C229" s="10" t="inlineStr">
        <is>
          <t>/api/dms/auto-rules</t>
        </is>
      </c>
      <c r="D229" s="8" t="inlineStr">
        <is>
          <t>dms</t>
        </is>
      </c>
      <c r="E229" s="8" t="inlineStr">
        <is>
          <t>Corridor ops / devices</t>
        </is>
      </c>
      <c r="F229" s="8" t="inlineStr">
        <is>
          <t>Public (GET)</t>
        </is>
      </c>
      <c r="G229" s="8" t="inlineStr">
        <is>
          <t>Get auto-DMS rules</t>
        </is>
      </c>
      <c r="H229" s="8" t="inlineStr">
        <is>
          <t>backend_proxy_server.js</t>
        </is>
      </c>
      <c r="I229" s="8" t="n">
        <v>13434</v>
      </c>
    </row>
    <row r="230">
      <c r="A230" s="5" t="n">
        <v>229</v>
      </c>
      <c r="B230" s="16" t="inlineStr">
        <is>
          <t>PUT</t>
        </is>
      </c>
      <c r="C230" s="7" t="inlineStr">
        <is>
          <t>/api/dms/auto-rules/:id</t>
        </is>
      </c>
      <c r="D230" s="5" t="inlineStr">
        <is>
          <t>dms</t>
        </is>
      </c>
      <c r="E230" s="5" t="inlineStr">
        <is>
          <t>Corridor ops / devices</t>
        </is>
      </c>
      <c r="F230" s="5" t="inlineStr">
        <is>
          <t>Write - check handler</t>
        </is>
      </c>
      <c r="G230" s="5" t="inlineStr">
        <is>
          <t>Update auto-DMS rule</t>
        </is>
      </c>
      <c r="H230" s="5" t="inlineStr">
        <is>
          <t>backend_proxy_server.js</t>
        </is>
      </c>
      <c r="I230" s="5" t="n">
        <v>13465</v>
      </c>
    </row>
    <row r="231">
      <c r="A231" s="8" t="n">
        <v>230</v>
      </c>
      <c r="B231" s="9" t="inlineStr">
        <is>
          <t>POST</t>
        </is>
      </c>
      <c r="C231" s="10" t="inlineStr">
        <is>
          <t>/api/dms/deactivate/:activationId</t>
        </is>
      </c>
      <c r="D231" s="8" t="inlineStr">
        <is>
          <t>dms</t>
        </is>
      </c>
      <c r="E231" s="8" t="inlineStr">
        <is>
          <t>Corridor ops / devices</t>
        </is>
      </c>
      <c r="F231" s="8" t="inlineStr">
        <is>
          <t>Write - check handler</t>
        </is>
      </c>
      <c r="G231" s="8" t="inlineStr">
        <is>
          <t>POST deactivate DMS message</t>
        </is>
      </c>
      <c r="H231" s="8" t="inlineStr">
        <is>
          <t>backend_proxy_server.js</t>
        </is>
      </c>
      <c r="I231" s="8" t="n">
        <v>13823</v>
      </c>
    </row>
    <row r="232">
      <c r="A232" s="5" t="n">
        <v>231</v>
      </c>
      <c r="B232" s="6" t="inlineStr">
        <is>
          <t>GET</t>
        </is>
      </c>
      <c r="C232" s="7" t="inlineStr">
        <is>
          <t>/api/dms/templates</t>
        </is>
      </c>
      <c r="D232" s="5" t="inlineStr">
        <is>
          <t>dms</t>
        </is>
      </c>
      <c r="E232" s="5" t="inlineStr">
        <is>
          <t>Corridor ops / devices</t>
        </is>
      </c>
      <c r="F232" s="5" t="inlineStr">
        <is>
          <t>Public (GET)</t>
        </is>
      </c>
      <c r="G232" s="5" t="inlineStr">
        <is>
          <t>GET all DMS message templates</t>
        </is>
      </c>
      <c r="H232" s="5" t="inlineStr">
        <is>
          <t>backend_proxy_server.js</t>
        </is>
      </c>
      <c r="I232" s="5" t="n">
        <v>13510</v>
      </c>
    </row>
    <row r="233">
      <c r="A233" s="8" t="n">
        <v>232</v>
      </c>
      <c r="B233" s="9" t="inlineStr">
        <is>
          <t>POST</t>
        </is>
      </c>
      <c r="C233" s="10" t="inlineStr">
        <is>
          <t>/api/dms/templates</t>
        </is>
      </c>
      <c r="D233" s="8" t="inlineStr">
        <is>
          <t>dms</t>
        </is>
      </c>
      <c r="E233" s="8" t="inlineStr">
        <is>
          <t>Corridor ops / devices</t>
        </is>
      </c>
      <c r="F233" s="8" t="inlineStr">
        <is>
          <t>Write - check handler</t>
        </is>
      </c>
      <c r="G233" s="8" t="inlineStr">
        <is>
          <t>POST create new DMS template</t>
        </is>
      </c>
      <c r="H233" s="8" t="inlineStr">
        <is>
          <t>backend_proxy_server.js</t>
        </is>
      </c>
      <c r="I233" s="8" t="n">
        <v>13605</v>
      </c>
    </row>
    <row r="234">
      <c r="A234" s="5" t="n">
        <v>233</v>
      </c>
      <c r="B234" s="6" t="inlineStr">
        <is>
          <t>GET</t>
        </is>
      </c>
      <c r="C234" s="7" t="inlineStr">
        <is>
          <t>/api/dms/templates/:id</t>
        </is>
      </c>
      <c r="D234" s="5" t="inlineStr">
        <is>
          <t>dms</t>
        </is>
      </c>
      <c r="E234" s="5" t="inlineStr">
        <is>
          <t>Corridor ops / devices</t>
        </is>
      </c>
      <c r="F234" s="5" t="inlineStr">
        <is>
          <t>Public (GET)</t>
        </is>
      </c>
      <c r="G234" s="5" t="inlineStr">
        <is>
          <t>GET specific DMS template with variables</t>
        </is>
      </c>
      <c r="H234" s="5" t="inlineStr">
        <is>
          <t>backend_proxy_server.js</t>
        </is>
      </c>
      <c r="I234" s="5" t="n">
        <v>13564</v>
      </c>
    </row>
    <row r="235">
      <c r="A235" s="8" t="n">
        <v>234</v>
      </c>
      <c r="B235" s="9" t="inlineStr">
        <is>
          <t>POST</t>
        </is>
      </c>
      <c r="C235" s="10" t="inlineStr">
        <is>
          <t>/api/dms/templates/:templateId/approve</t>
        </is>
      </c>
      <c r="D235" s="8" t="inlineStr">
        <is>
          <t>dms</t>
        </is>
      </c>
      <c r="E235" s="8" t="inlineStr">
        <is>
          <t>Corridor ops / devices</t>
        </is>
      </c>
      <c r="F235" s="8" t="inlineStr">
        <is>
          <t>Write - check handler</t>
        </is>
      </c>
      <c r="G235" s="8" t="inlineStr">
        <is>
          <t>POST approve template for state</t>
        </is>
      </c>
      <c r="H235" s="8" t="inlineStr">
        <is>
          <t>backend_proxy_server.js</t>
        </is>
      </c>
      <c r="I235" s="8" t="n">
        <v>13899</v>
      </c>
    </row>
    <row r="236">
      <c r="A236" s="5" t="n">
        <v>235</v>
      </c>
      <c r="B236" s="6" t="inlineStr">
        <is>
          <t>GET</t>
        </is>
      </c>
      <c r="C236" s="7" t="inlineStr">
        <is>
          <t>/api/dms/templates/pending-approval/:stateCode</t>
        </is>
      </c>
      <c r="D236" s="5" t="inlineStr">
        <is>
          <t>dms</t>
        </is>
      </c>
      <c r="E236" s="5" t="inlineStr">
        <is>
          <t>Corridor ops / devices</t>
        </is>
      </c>
      <c r="F236" s="5" t="inlineStr">
        <is>
          <t>Public (GET)</t>
        </is>
      </c>
      <c r="G236" s="5" t="inlineStr">
        <is>
          <t>GET templates pending approval for state</t>
        </is>
      </c>
      <c r="H236" s="5" t="inlineStr">
        <is>
          <t>backend_proxy_server.js</t>
        </is>
      </c>
      <c r="I236" s="5" t="n">
        <v>13865</v>
      </c>
    </row>
    <row r="237">
      <c r="A237" s="8" t="n">
        <v>236</v>
      </c>
      <c r="B237" s="12" t="inlineStr">
        <is>
          <t>GET</t>
        </is>
      </c>
      <c r="C237" s="10" t="inlineStr">
        <is>
          <t>/docs/:filename</t>
        </is>
      </c>
      <c r="D237" s="8" t="inlineStr">
        <is>
          <t>docs</t>
        </is>
      </c>
      <c r="E237" s="8" t="inlineStr">
        <is>
          <t>Platform</t>
        </is>
      </c>
      <c r="F237" s="8" t="inlineStr">
        <is>
          <t>Public (GET)</t>
        </is>
      </c>
      <c r="G237" s="8" t="inlineStr">
        <is>
          <t>Serve documentation files (before static frontend)</t>
        </is>
      </c>
      <c r="H237" s="8" t="inlineStr">
        <is>
          <t>backend_proxy_server.js</t>
        </is>
      </c>
      <c r="I237" s="8" t="n">
        <v>521</v>
      </c>
    </row>
    <row r="238">
      <c r="A238" s="5" t="n">
        <v>237</v>
      </c>
      <c r="B238" s="6" t="inlineStr">
        <is>
          <t>GET</t>
        </is>
      </c>
      <c r="C238" s="7" t="inlineStr">
        <is>
          <t>/api/documentation</t>
        </is>
      </c>
      <c r="D238" s="5" t="inlineStr">
        <is>
          <t>documentation</t>
        </is>
      </c>
      <c r="E238" s="5" t="inlineStr">
        <is>
          <t>Platform</t>
        </is>
      </c>
      <c r="F238" s="5" t="inlineStr">
        <is>
          <t>Public (GET)</t>
        </is>
      </c>
      <c r="G238" s="5" t="inlineStr"/>
      <c r="H238" s="5" t="inlineStr">
        <is>
          <t>backend_proxy_server.js</t>
        </is>
      </c>
      <c r="I238" s="5" t="n">
        <v>6990</v>
      </c>
    </row>
    <row r="239">
      <c r="A239" s="8" t="n">
        <v>238</v>
      </c>
      <c r="B239" s="12" t="inlineStr">
        <is>
          <t>GET</t>
        </is>
      </c>
      <c r="C239" s="10" t="inlineStr">
        <is>
          <t>/api/documentation/:docName</t>
        </is>
      </c>
      <c r="D239" s="8" t="inlineStr">
        <is>
          <t>documentation</t>
        </is>
      </c>
      <c r="E239" s="8" t="inlineStr">
        <is>
          <t>Platform</t>
        </is>
      </c>
      <c r="F239" s="8" t="inlineStr">
        <is>
          <t>Public (GET)</t>
        </is>
      </c>
      <c r="G239" s="8" t="inlineStr">
        <is>
          <t>Get specific documentation file (generic route - must be last)</t>
        </is>
      </c>
      <c r="H239" s="8" t="inlineStr">
        <is>
          <t>backend_proxy_server.js</t>
        </is>
      </c>
      <c r="I239" s="8" t="n">
        <v>7117</v>
      </c>
    </row>
    <row r="240">
      <c r="A240" s="5" t="n">
        <v>239</v>
      </c>
      <c r="B240" s="6" t="inlineStr">
        <is>
          <t>GET</t>
        </is>
      </c>
      <c r="C240" s="7" t="inlineStr">
        <is>
          <t>/api/documentation/auto</t>
        </is>
      </c>
      <c r="D240" s="5" t="inlineStr">
        <is>
          <t>documentation</t>
        </is>
      </c>
      <c r="E240" s="5" t="inlineStr">
        <is>
          <t>Platform</t>
        </is>
      </c>
      <c r="F240" s="5" t="inlineStr">
        <is>
          <t>Public (GET)</t>
        </is>
      </c>
      <c r="G240" s="5" t="inlineStr">
        <is>
          <t>API Documentation endpoint Auto-generated API documentation endpoint</t>
        </is>
      </c>
      <c r="H240" s="5" t="inlineStr">
        <is>
          <t>backend_proxy_server.js</t>
        </is>
      </c>
      <c r="I240" s="5" t="n">
        <v>6864</v>
      </c>
    </row>
    <row r="241">
      <c r="A241" s="8" t="n">
        <v>240</v>
      </c>
      <c r="B241" s="12" t="inlineStr">
        <is>
          <t>GET</t>
        </is>
      </c>
      <c r="C241" s="10" t="inlineStr">
        <is>
          <t>/api/documentation/list</t>
        </is>
      </c>
      <c r="D241" s="8" t="inlineStr">
        <is>
          <t>documentation</t>
        </is>
      </c>
      <c r="E241" s="8" t="inlineStr">
        <is>
          <t>Platform</t>
        </is>
      </c>
      <c r="F241" s="8" t="inlineStr">
        <is>
          <t>Public (GET)</t>
        </is>
      </c>
      <c r="G241" s="8" t="inlineStr">
        <is>
          <t>Get list of all documentation files</t>
        </is>
      </c>
      <c r="H241" s="8" t="inlineStr">
        <is>
          <t>backend_proxy_server.js</t>
        </is>
      </c>
      <c r="I241" s="8" t="n">
        <v>7060</v>
      </c>
    </row>
    <row r="242">
      <c r="A242" s="5" t="n">
        <v>241</v>
      </c>
      <c r="B242" s="6" t="inlineStr">
        <is>
          <t>GET</t>
        </is>
      </c>
      <c r="C242" s="7" t="inlineStr">
        <is>
          <t>/api/documentation/roadmap</t>
        </is>
      </c>
      <c r="D242" s="5" t="inlineStr">
        <is>
          <t>documentation</t>
        </is>
      </c>
      <c r="E242" s="5" t="inlineStr">
        <is>
          <t>Platform</t>
        </is>
      </c>
      <c r="F242" s="5" t="inlineStr">
        <is>
          <t>Public (GET)</t>
        </is>
      </c>
      <c r="G242" s="5" t="inlineStr">
        <is>
          <t>IMPORTANT: Specific routes must come BEFORE generic :docName route Get roadmap documentation (must be before /:docName route)</t>
        </is>
      </c>
      <c r="H242" s="5" t="inlineStr">
        <is>
          <t>backend_proxy_server.js</t>
        </is>
      </c>
      <c r="I242" s="5" t="n">
        <v>7094</v>
      </c>
    </row>
    <row r="243">
      <c r="A243" s="8" t="n">
        <v>242</v>
      </c>
      <c r="B243" s="12" t="inlineStr">
        <is>
          <t>GET</t>
        </is>
      </c>
      <c r="C243" s="10" t="inlineStr">
        <is>
          <t>/api/equipment/:equipmentId/telemetry</t>
        </is>
      </c>
      <c r="D243" s="8" t="inlineStr">
        <is>
          <t>equipment</t>
        </is>
      </c>
      <c r="E243" s="8" t="inlineStr">
        <is>
          <t>ITS / infrastructure</t>
        </is>
      </c>
      <c r="F243" s="8" t="inlineStr">
        <is>
          <t>Public (GET)</t>
        </is>
      </c>
      <c r="G243" s="8" t="inlineStr">
        <is>
          <t>Get latest telemetry for equipment</t>
        </is>
      </c>
      <c r="H243" s="8" t="inlineStr">
        <is>
          <t>backend_proxy_server.js</t>
        </is>
      </c>
      <c r="I243" s="8" t="n">
        <v>25998</v>
      </c>
    </row>
    <row r="244">
      <c r="A244" s="5" t="n">
        <v>243</v>
      </c>
      <c r="B244" s="6" t="inlineStr">
        <is>
          <t>GET</t>
        </is>
      </c>
      <c r="C244" s="7" t="inlineStr">
        <is>
          <t>/api/equipment/health</t>
        </is>
      </c>
      <c r="D244" s="5" t="inlineStr">
        <is>
          <t>equipment</t>
        </is>
      </c>
      <c r="E244" s="5" t="inlineStr">
        <is>
          <t>ITS / infrastructure</t>
        </is>
      </c>
      <c r="F244" s="5" t="inlineStr">
        <is>
          <t>Public (GET)</t>
        </is>
      </c>
      <c r="G244" s="5" t="inlineStr">
        <is>
          <t>Get equipment health dashboard</t>
        </is>
      </c>
      <c r="H244" s="5" t="inlineStr">
        <is>
          <t>backend_proxy_server.js</t>
        </is>
      </c>
      <c r="I244" s="5" t="n">
        <v>25958</v>
      </c>
    </row>
    <row r="245">
      <c r="A245" s="8" t="n">
        <v>244</v>
      </c>
      <c r="B245" s="12" t="inlineStr">
        <is>
          <t>GET</t>
        </is>
      </c>
      <c r="C245" s="10" t="inlineStr">
        <is>
          <t>/api/equipment/issues</t>
        </is>
      </c>
      <c r="D245" s="8" t="inlineStr">
        <is>
          <t>equipment</t>
        </is>
      </c>
      <c r="E245" s="8" t="inlineStr">
        <is>
          <t>ITS / infrastructure</t>
        </is>
      </c>
      <c r="F245" s="8" t="inlineStr">
        <is>
          <t>Public (GET)</t>
        </is>
      </c>
      <c r="G245" s="8" t="inlineStr">
        <is>
          <t>Get unresolved issues</t>
        </is>
      </c>
      <c r="H245" s="8" t="inlineStr">
        <is>
          <t>backend_proxy_server.js</t>
        </is>
      </c>
      <c r="I245" s="8" t="n">
        <v>26070</v>
      </c>
    </row>
    <row r="246">
      <c r="A246" s="5" t="n">
        <v>245</v>
      </c>
      <c r="B246" s="6" t="inlineStr">
        <is>
          <t>GET</t>
        </is>
      </c>
      <c r="C246" s="7" t="inlineStr">
        <is>
          <t>/api/equipment/offline</t>
        </is>
      </c>
      <c r="D246" s="5" t="inlineStr">
        <is>
          <t>equipment</t>
        </is>
      </c>
      <c r="E246" s="5" t="inlineStr">
        <is>
          <t>ITS / infrastructure</t>
        </is>
      </c>
      <c r="F246" s="5" t="inlineStr">
        <is>
          <t>Public (GET)</t>
        </is>
      </c>
      <c r="G246" s="5" t="inlineStr">
        <is>
          <t>Get offline equipment</t>
        </is>
      </c>
      <c r="H246" s="5" t="inlineStr">
        <is>
          <t>backend_proxy_server.js</t>
        </is>
      </c>
      <c r="I246" s="5" t="n">
        <v>26018</v>
      </c>
    </row>
    <row r="247">
      <c r="A247" s="8" t="n">
        <v>246</v>
      </c>
      <c r="B247" s="12" t="inlineStr">
        <is>
          <t>GET</t>
        </is>
      </c>
      <c r="C247" s="10" t="inlineStr">
        <is>
          <t>/api/equipment/outages</t>
        </is>
      </c>
      <c r="D247" s="8" t="inlineStr">
        <is>
          <t>equipment</t>
        </is>
      </c>
      <c r="E247" s="8" t="inlineStr">
        <is>
          <t>ITS / infrastructure</t>
        </is>
      </c>
      <c r="F247" s="8" t="inlineStr">
        <is>
          <t>Public (GET)</t>
        </is>
      </c>
      <c r="G247" s="8" t="inlineStr">
        <is>
          <t>Get recent outages</t>
        </is>
      </c>
      <c r="H247" s="8" t="inlineStr">
        <is>
          <t>backend_proxy_server.js</t>
        </is>
      </c>
      <c r="I247" s="8" t="n">
        <v>26092</v>
      </c>
    </row>
    <row r="248">
      <c r="A248" s="5" t="n">
        <v>247</v>
      </c>
      <c r="B248" s="6" t="inlineStr">
        <is>
          <t>GET</t>
        </is>
      </c>
      <c r="C248" s="7" t="inlineStr">
        <is>
          <t>/api/events</t>
        </is>
      </c>
      <c r="D248" s="5" t="inlineStr">
        <is>
          <t>events</t>
        </is>
      </c>
      <c r="E248" s="5" t="inlineStr">
        <is>
          <t>Core event data</t>
        </is>
      </c>
      <c r="F248" s="5" t="inlineStr">
        <is>
          <t>Public (GET)</t>
        </is>
      </c>
      <c r="G248" s="5" t="inlineStr"/>
      <c r="H248" s="5" t="inlineStr">
        <is>
          <t>backend_proxy_server.js</t>
        </is>
      </c>
      <c r="I248" s="5" t="n">
        <v>5611</v>
      </c>
    </row>
    <row r="249">
      <c r="A249" s="8" t="n">
        <v>248</v>
      </c>
      <c r="B249" s="12" t="inlineStr">
        <is>
          <t>GET</t>
        </is>
      </c>
      <c r="C249" s="10" t="inlineStr">
        <is>
          <t>/api/events/:eventId/comments</t>
        </is>
      </c>
      <c r="D249" s="8" t="inlineStr">
        <is>
          <t>events</t>
        </is>
      </c>
      <c r="E249" s="8" t="inlineStr">
        <is>
          <t>Core event data</t>
        </is>
      </c>
      <c r="F249" s="8" t="inlineStr">
        <is>
          <t>Public (GET)</t>
        </is>
      </c>
      <c r="G249" s="8" t="inlineStr">
        <is>
          <t>Get comments for an event (public - no auth required)</t>
        </is>
      </c>
      <c r="H249" s="8" t="inlineStr">
        <is>
          <t>backend_proxy_server.js</t>
        </is>
      </c>
      <c r="I249" s="8" t="n">
        <v>11705</v>
      </c>
    </row>
    <row r="250">
      <c r="A250" s="5" t="n">
        <v>249</v>
      </c>
      <c r="B250" s="11" t="inlineStr">
        <is>
          <t>POST</t>
        </is>
      </c>
      <c r="C250" s="7" t="inlineStr">
        <is>
          <t>/api/events/:eventId/comments</t>
        </is>
      </c>
      <c r="D250" s="5" t="inlineStr">
        <is>
          <t>events</t>
        </is>
      </c>
      <c r="E250" s="5" t="inlineStr">
        <is>
          <t>Core event data</t>
        </is>
      </c>
      <c r="F250" s="5" t="inlineStr">
        <is>
          <t>Write - check handler</t>
        </is>
      </c>
      <c r="G250" s="5" t="inlineStr">
        <is>
          <t>Add comment to event (any authenticated state or state-affiliated user can comment)</t>
        </is>
      </c>
      <c r="H250" s="5" t="inlineStr">
        <is>
          <t>backend_proxy_server.js</t>
        </is>
      </c>
      <c r="I250" s="5" t="n">
        <v>11548</v>
      </c>
    </row>
    <row r="251">
      <c r="A251" s="8" t="n">
        <v>250</v>
      </c>
      <c r="B251" s="12" t="inlineStr">
        <is>
          <t>GET</t>
        </is>
      </c>
      <c r="C251" s="10" t="inlineStr">
        <is>
          <t>/api/events/:eventId/compliance</t>
        </is>
      </c>
      <c r="D251" s="8" t="inlineStr">
        <is>
          <t>events</t>
        </is>
      </c>
      <c r="E251" s="8" t="inlineStr">
        <is>
          <t>Core event data</t>
        </is>
      </c>
      <c r="F251" s="8" t="inlineStr">
        <is>
          <t>Public (GET)</t>
        </is>
      </c>
      <c r="G251" s="8" t="inlineStr"/>
      <c r="H251" s="8" t="inlineStr">
        <is>
          <t>backend_proxy_server.js</t>
        </is>
      </c>
      <c r="I251" s="8" t="n">
        <v>11640</v>
      </c>
    </row>
    <row r="252">
      <c r="A252" s="5" t="n">
        <v>251</v>
      </c>
      <c r="B252" s="13" t="inlineStr">
        <is>
          <t>DELETE</t>
        </is>
      </c>
      <c r="C252" s="7" t="inlineStr">
        <is>
          <t>/api/events/:eventId/geofence</t>
        </is>
      </c>
      <c r="D252" s="5" t="inlineStr">
        <is>
          <t>events</t>
        </is>
      </c>
      <c r="E252" s="5" t="inlineStr">
        <is>
          <t>Core event data</t>
        </is>
      </c>
      <c r="F252" s="5" t="inlineStr">
        <is>
          <t>Write - check handler</t>
        </is>
      </c>
      <c r="G252" s="5" t="inlineStr">
        <is>
          <t>DELETE /api/events/:eventId/geofence - Delete saved geofence for an event</t>
        </is>
      </c>
      <c r="H252" s="5" t="inlineStr">
        <is>
          <t>backend_proxy_server.js</t>
        </is>
      </c>
      <c r="I252" s="5" t="n">
        <v>11828</v>
      </c>
    </row>
    <row r="253">
      <c r="A253" s="8" t="n">
        <v>252</v>
      </c>
      <c r="B253" s="9" t="inlineStr">
        <is>
          <t>POST</t>
        </is>
      </c>
      <c r="C253" s="10" t="inlineStr">
        <is>
          <t>/api/events/:eventId/geofence</t>
        </is>
      </c>
      <c r="D253" s="8" t="inlineStr">
        <is>
          <t>events</t>
        </is>
      </c>
      <c r="E253" s="8" t="inlineStr">
        <is>
          <t>Core event data</t>
        </is>
      </c>
      <c r="F253" s="8" t="inlineStr">
        <is>
          <t>Write - check handler</t>
        </is>
      </c>
      <c r="G253" s="8" t="inlineStr">
        <is>
          <t>Save IPAWS geofence to event</t>
        </is>
      </c>
      <c r="H253" s="8" t="inlineStr">
        <is>
          <t>backend_proxy_server.js</t>
        </is>
      </c>
      <c r="I253" s="8" t="n">
        <v>11727</v>
      </c>
    </row>
    <row r="254">
      <c r="A254" s="5" t="n">
        <v>253</v>
      </c>
      <c r="B254" s="6" t="inlineStr">
        <is>
          <t>GET</t>
        </is>
      </c>
      <c r="C254" s="7" t="inlineStr">
        <is>
          <t>/api/events/:state</t>
        </is>
      </c>
      <c r="D254" s="5" t="inlineStr">
        <is>
          <t>events</t>
        </is>
      </c>
      <c r="E254" s="5" t="inlineStr">
        <is>
          <t>Core event data</t>
        </is>
      </c>
      <c r="F254" s="5" t="inlineStr">
        <is>
          <t>Public (GET)</t>
        </is>
      </c>
      <c r="G254" s="5" t="inlineStr">
        <is>
          <t>Endpoint to fetch from a specific state</t>
        </is>
      </c>
      <c r="H254" s="5" t="inlineStr">
        <is>
          <t>backend_proxy_server.js</t>
        </is>
      </c>
      <c r="I254" s="5" t="n">
        <v>6740</v>
      </c>
    </row>
    <row r="255">
      <c r="A255" s="8" t="n">
        <v>254</v>
      </c>
      <c r="B255" s="15" t="inlineStr">
        <is>
          <t>DELETE</t>
        </is>
      </c>
      <c r="C255" s="10" t="inlineStr">
        <is>
          <t>/api/events/comments/:id</t>
        </is>
      </c>
      <c r="D255" s="8" t="inlineStr">
        <is>
          <t>events</t>
        </is>
      </c>
      <c r="E255" s="8" t="inlineStr">
        <is>
          <t>Core event data</t>
        </is>
      </c>
      <c r="F255" s="8" t="inlineStr">
        <is>
          <t>Write - check handler</t>
        </is>
      </c>
      <c r="G255" s="8" t="inlineStr">
        <is>
          <t>Delete an event comment (only the commenter can delete)</t>
        </is>
      </c>
      <c r="H255" s="8" t="inlineStr">
        <is>
          <t>backend_proxy_server.js</t>
        </is>
      </c>
      <c r="I255" s="8" t="n">
        <v>11531</v>
      </c>
    </row>
    <row r="256">
      <c r="A256" s="5" t="n">
        <v>255</v>
      </c>
      <c r="B256" s="6" t="inlineStr">
        <is>
          <t>GET</t>
        </is>
      </c>
      <c r="C256" s="7" t="inlineStr">
        <is>
          <t>/api/events/comments/all</t>
        </is>
      </c>
      <c r="D256" s="5" t="inlineStr">
        <is>
          <t>events</t>
        </is>
      </c>
      <c r="E256" s="5" t="inlineStr">
        <is>
          <t>Core event data</t>
        </is>
      </c>
      <c r="F256" s="5" t="inlineStr">
        <is>
          <t>Public (GET)</t>
        </is>
      </c>
      <c r="G256" s="5" t="inlineStr">
        <is>
          <t>Get all event comments (for viewing all discussions)</t>
        </is>
      </c>
      <c r="H256" s="5" t="inlineStr">
        <is>
          <t>backend_proxy_server.js</t>
        </is>
      </c>
      <c r="I256" s="5" t="n">
        <v>11869</v>
      </c>
    </row>
    <row r="257">
      <c r="A257" s="8" t="n">
        <v>256</v>
      </c>
      <c r="B257" s="12" t="inlineStr">
        <is>
          <t>GET</t>
        </is>
      </c>
      <c r="C257" s="10" t="inlineStr">
        <is>
          <t>/api/events/stats</t>
        </is>
      </c>
      <c r="D257" s="8" t="inlineStr">
        <is>
          <t>events</t>
        </is>
      </c>
      <c r="E257" s="8" t="inlineStr">
        <is>
          <t>Core event data</t>
        </is>
      </c>
      <c r="F257" s="8" t="inlineStr">
        <is>
          <t>Public (GET)</t>
        </is>
      </c>
      <c r="G257" s="8" t="inlineStr">
        <is>
          <t>Lightweight traffic/egress counter for /api/events. Read-only, no auth — returns total requests, ETag-hit (304) ratio, and bytes-out per day, plus today's totals. Multiplied by 30 to project a monthly egress estimate.</t>
        </is>
      </c>
      <c r="H257" s="8" t="inlineStr">
        <is>
          <t>backend_proxy_server.js</t>
        </is>
      </c>
      <c r="I257" s="8" t="n">
        <v>5772</v>
      </c>
    </row>
    <row r="258">
      <c r="A258" s="5" t="n">
        <v>257</v>
      </c>
      <c r="B258" s="11" t="inlineStr">
        <is>
          <t>POST</t>
        </is>
      </c>
      <c r="C258" s="7" t="inlineStr">
        <is>
          <t>/api/feeds/submit</t>
        </is>
      </c>
      <c r="D258" s="5" t="inlineStr">
        <is>
          <t>feeds</t>
        </is>
      </c>
      <c r="E258" s="5" t="inlineStr">
        <is>
          <t>Data quality</t>
        </is>
      </c>
      <c r="F258" s="5" t="inlineStr">
        <is>
          <t>Write - check handler</t>
        </is>
      </c>
      <c r="G258" s="5" t="inlineStr">
        <is>
          <t>Feed submission endpoints</t>
        </is>
      </c>
      <c r="H258" s="5" t="inlineStr">
        <is>
          <t>backend_proxy_server.js</t>
        </is>
      </c>
      <c r="I258" s="5" t="n">
        <v>20041</v>
      </c>
    </row>
    <row r="259">
      <c r="A259" s="8" t="n">
        <v>258</v>
      </c>
      <c r="B259" s="12" t="inlineStr">
        <is>
          <t>GET</t>
        </is>
      </c>
      <c r="C259" s="10" t="inlineStr">
        <is>
          <t>/api/fix-texas</t>
        </is>
      </c>
      <c r="D259" s="8" t="inlineStr">
        <is>
          <t>fix-texas</t>
        </is>
      </c>
      <c r="E259" s="8" t="inlineStr">
        <is>
          <t>Maintenance</t>
        </is>
      </c>
      <c r="F259" s="8" t="inlineStr">
        <is>
          <t>Public (GET)</t>
        </is>
      </c>
      <c r="G259" s="8" t="inlineStr">
        <is>
          <t>One-time fix for Texas API URL</t>
        </is>
      </c>
      <c r="H259" s="8" t="inlineStr">
        <is>
          <t>backend_proxy_server.js</t>
        </is>
      </c>
      <c r="I259" s="8" t="n">
        <v>7181</v>
      </c>
    </row>
    <row r="260">
      <c r="A260" s="5" t="n">
        <v>259</v>
      </c>
      <c r="B260" s="6" t="inlineStr">
        <is>
          <t>GET</t>
        </is>
      </c>
      <c r="C260" s="7" t="inlineStr">
        <is>
          <t>/api/funding-opportunities</t>
        </is>
      </c>
      <c r="D260" s="5" t="inlineStr">
        <is>
          <t>funding-opportunities</t>
        </is>
      </c>
      <c r="E260" s="5" t="inlineStr">
        <is>
          <t>Grants</t>
        </is>
      </c>
      <c r="F260" s="5" t="inlineStr">
        <is>
          <t>Public (GET)</t>
        </is>
      </c>
      <c r="G260" s="5" t="inlineStr">
        <is>
          <t>GET /api/funding-opportunities - Search for transportation grants</t>
        </is>
      </c>
      <c r="H260" s="5" t="inlineStr">
        <is>
          <t>backend_proxy_server.js</t>
        </is>
      </c>
      <c r="I260" s="5" t="n">
        <v>25439</v>
      </c>
    </row>
    <row r="261">
      <c r="A261" s="8" t="n">
        <v>260</v>
      </c>
      <c r="B261" s="12" t="inlineStr">
        <is>
          <t>GET</t>
        </is>
      </c>
      <c r="C261" s="10" t="inlineStr">
        <is>
          <t>/api/funding-opportunities/evidence</t>
        </is>
      </c>
      <c r="D261" s="8" t="inlineStr">
        <is>
          <t>funding-opportunities</t>
        </is>
      </c>
      <c r="E261" s="8" t="inlineStr">
        <is>
          <t>Grants</t>
        </is>
      </c>
      <c r="F261" s="8" t="inlineStr">
        <is>
          <t>Public (GET)</t>
        </is>
      </c>
      <c r="G261" s="8" t="inlineStr">
        <is>
          <t>GET /api/funding-opportunities/evidence - Generate grant evidence from platform stats</t>
        </is>
      </c>
      <c r="H261" s="8" t="inlineStr">
        <is>
          <t>backend_proxy_server.js</t>
        </is>
      </c>
      <c r="I261" s="8" t="n">
        <v>25481</v>
      </c>
    </row>
    <row r="262">
      <c r="A262" s="5" t="n">
        <v>261</v>
      </c>
      <c r="B262" s="6" t="inlineStr">
        <is>
          <t>GET</t>
        </is>
      </c>
      <c r="C262" s="7" t="inlineStr">
        <is>
          <t>/api/geofences</t>
        </is>
      </c>
      <c r="D262" s="5" t="inlineStr">
        <is>
          <t>geofences</t>
        </is>
      </c>
      <c r="E262" s="5" t="inlineStr">
        <is>
          <t>Alerting</t>
        </is>
      </c>
      <c r="F262" s="5" t="inlineStr">
        <is>
          <t>Public (GET)</t>
        </is>
      </c>
      <c r="G262" s="5" t="inlineStr">
        <is>
          <t>Get all saved geofences</t>
        </is>
      </c>
      <c r="H262" s="5" t="inlineStr">
        <is>
          <t>backend_proxy_server.js</t>
        </is>
      </c>
      <c r="I262" s="5" t="n">
        <v>11788</v>
      </c>
    </row>
    <row r="263">
      <c r="A263" s="8" t="n">
        <v>262</v>
      </c>
      <c r="B263" s="9" t="inlineStr">
        <is>
          <t>POST</t>
        </is>
      </c>
      <c r="C263" s="10" t="inlineStr">
        <is>
          <t>/api/grants/analyze-proposal</t>
        </is>
      </c>
      <c r="D263" s="8" t="inlineStr">
        <is>
          <t>grants</t>
        </is>
      </c>
      <c r="E263" s="8" t="inlineStr">
        <is>
          <t>Grants</t>
        </is>
      </c>
      <c r="F263" s="8" t="inlineStr">
        <is>
          <t>requireAdmin</t>
        </is>
      </c>
      <c r="G263" s="8" t="inlineStr">
        <is>
          <t>Analyze a grant proposal and provide improvement suggestions Uses AI to evaluate proposal against grant requirements and scoring criteria</t>
        </is>
      </c>
      <c r="H263" s="8" t="inlineStr">
        <is>
          <t>backend_proxy_server.js</t>
        </is>
      </c>
      <c r="I263" s="8" t="n">
        <v>34711</v>
      </c>
    </row>
    <row r="264">
      <c r="A264" s="5" t="n">
        <v>263</v>
      </c>
      <c r="B264" s="6" t="inlineStr">
        <is>
          <t>GET</t>
        </is>
      </c>
      <c r="C264" s="7" t="inlineStr">
        <is>
          <t>/api/grants/applications</t>
        </is>
      </c>
      <c r="D264" s="5" t="inlineStr">
        <is>
          <t>grants</t>
        </is>
      </c>
      <c r="E264" s="5" t="inlineStr">
        <is>
          <t>Grants</t>
        </is>
      </c>
      <c r="F264" s="5" t="inlineStr">
        <is>
          <t>Public (GET)</t>
        </is>
      </c>
      <c r="G264" s="5" t="inlineStr">
        <is>
          <t>List grant applications</t>
        </is>
      </c>
      <c r="H264" s="5" t="inlineStr">
        <is>
          <t>backend_proxy_server.js</t>
        </is>
      </c>
      <c r="I264" s="5" t="n">
        <v>32872</v>
      </c>
    </row>
    <row r="265">
      <c r="A265" s="8" t="n">
        <v>264</v>
      </c>
      <c r="B265" s="9" t="inlineStr">
        <is>
          <t>POST</t>
        </is>
      </c>
      <c r="C265" s="10" t="inlineStr">
        <is>
          <t>/api/grants/applications</t>
        </is>
      </c>
      <c r="D265" s="8" t="inlineStr">
        <is>
          <t>grants</t>
        </is>
      </c>
      <c r="E265" s="8" t="inlineStr">
        <is>
          <t>Grants</t>
        </is>
      </c>
      <c r="F265" s="8" t="inlineStr">
        <is>
          <t>Write - check handler</t>
        </is>
      </c>
      <c r="G265" s="8" t="inlineStr">
        <is>
          <t>Create new grant application</t>
        </is>
      </c>
      <c r="H265" s="8" t="inlineStr">
        <is>
          <t>backend_proxy_server.js</t>
        </is>
      </c>
      <c r="I265" s="8" t="n">
        <v>32782</v>
      </c>
    </row>
    <row r="266">
      <c r="A266" s="5" t="n">
        <v>265</v>
      </c>
      <c r="B266" s="13" t="inlineStr">
        <is>
          <t>DELETE</t>
        </is>
      </c>
      <c r="C266" s="7" t="inlineStr">
        <is>
          <t>/api/grants/applications/:id</t>
        </is>
      </c>
      <c r="D266" s="5" t="inlineStr">
        <is>
          <t>grants</t>
        </is>
      </c>
      <c r="E266" s="5" t="inlineStr">
        <is>
          <t>Grants</t>
        </is>
      </c>
      <c r="F266" s="5" t="inlineStr">
        <is>
          <t>Write - check handler</t>
        </is>
      </c>
      <c r="G266" s="5" t="inlineStr">
        <is>
          <t>Delete grant application</t>
        </is>
      </c>
      <c r="H266" s="5" t="inlineStr">
        <is>
          <t>backend_proxy_server.js</t>
        </is>
      </c>
      <c r="I266" s="5" t="n">
        <v>33122</v>
      </c>
    </row>
    <row r="267">
      <c r="A267" s="8" t="n">
        <v>266</v>
      </c>
      <c r="B267" s="12" t="inlineStr">
        <is>
          <t>GET</t>
        </is>
      </c>
      <c r="C267" s="10" t="inlineStr">
        <is>
          <t>/api/grants/applications/:id</t>
        </is>
      </c>
      <c r="D267" s="8" t="inlineStr">
        <is>
          <t>grants</t>
        </is>
      </c>
      <c r="E267" s="8" t="inlineStr">
        <is>
          <t>Grants</t>
        </is>
      </c>
      <c r="F267" s="8" t="inlineStr">
        <is>
          <t>Public (GET)</t>
        </is>
      </c>
      <c r="G267" s="8" t="inlineStr">
        <is>
          <t>Get specific grant application with full details</t>
        </is>
      </c>
      <c r="H267" s="8" t="inlineStr">
        <is>
          <t>backend_proxy_server.js</t>
        </is>
      </c>
      <c r="I267" s="8" t="n">
        <v>32939</v>
      </c>
    </row>
    <row r="268">
      <c r="A268" s="5" t="n">
        <v>267</v>
      </c>
      <c r="B268" s="16" t="inlineStr">
        <is>
          <t>PUT</t>
        </is>
      </c>
      <c r="C268" s="7" t="inlineStr">
        <is>
          <t>/api/grants/applications/:id</t>
        </is>
      </c>
      <c r="D268" s="5" t="inlineStr">
        <is>
          <t>grants</t>
        </is>
      </c>
      <c r="E268" s="5" t="inlineStr">
        <is>
          <t>Grants</t>
        </is>
      </c>
      <c r="F268" s="5" t="inlineStr">
        <is>
          <t>Write - check handler</t>
        </is>
      </c>
      <c r="G268" s="5" t="inlineStr">
        <is>
          <t>Update grant application</t>
        </is>
      </c>
      <c r="H268" s="5" t="inlineStr">
        <is>
          <t>backend_proxy_server.js</t>
        </is>
      </c>
      <c r="I268" s="5" t="n">
        <v>33029</v>
      </c>
    </row>
    <row r="269">
      <c r="A269" s="8" t="n">
        <v>268</v>
      </c>
      <c r="B269" s="9" t="inlineStr">
        <is>
          <t>POST</t>
        </is>
      </c>
      <c r="C269" s="10" t="inlineStr">
        <is>
          <t>/api/grants/applications/:id/attach-its-equipment</t>
        </is>
      </c>
      <c r="D269" s="8" t="inlineStr">
        <is>
          <t>grants</t>
        </is>
      </c>
      <c r="E269" s="8" t="inlineStr">
        <is>
          <t>Grants</t>
        </is>
      </c>
      <c r="F269" s="8" t="inlineStr">
        <is>
          <t>Write - check handler</t>
        </is>
      </c>
      <c r="G269" s="8" t="inlineStr">
        <is>
          <t>Attach ITS Equipment Inventory to grant application</t>
        </is>
      </c>
      <c r="H269" s="8" t="inlineStr">
        <is>
          <t>backend_proxy_server.js</t>
        </is>
      </c>
      <c r="I269" s="8" t="n">
        <v>33532</v>
      </c>
    </row>
    <row r="270">
      <c r="A270" s="5" t="n">
        <v>269</v>
      </c>
      <c r="B270" s="11" t="inlineStr">
        <is>
          <t>POST</t>
        </is>
      </c>
      <c r="C270" s="7" t="inlineStr">
        <is>
          <t>/api/grants/applications/:id/generate-metrics</t>
        </is>
      </c>
      <c r="D270" s="5" t="inlineStr">
        <is>
          <t>grants</t>
        </is>
      </c>
      <c r="E270" s="5" t="inlineStr">
        <is>
          <t>Grants</t>
        </is>
      </c>
      <c r="F270" s="5" t="inlineStr">
        <is>
          <t>Write - check handler</t>
        </is>
      </c>
      <c r="G270" s="5" t="inlineStr">
        <is>
          <t>Generate metrics automatically from existing system data</t>
        </is>
      </c>
      <c r="H270" s="5" t="inlineStr">
        <is>
          <t>backend_proxy_server.js</t>
        </is>
      </c>
      <c r="I270" s="5" t="n">
        <v>33209</v>
      </c>
    </row>
    <row r="271">
      <c r="A271" s="8" t="n">
        <v>270</v>
      </c>
      <c r="B271" s="12" t="inlineStr">
        <is>
          <t>GET</t>
        </is>
      </c>
      <c r="C271" s="10" t="inlineStr">
        <is>
          <t>/api/grants/applications/:id/its-equipment</t>
        </is>
      </c>
      <c r="D271" s="8" t="inlineStr">
        <is>
          <t>grants</t>
        </is>
      </c>
      <c r="E271" s="8" t="inlineStr">
        <is>
          <t>Grants</t>
        </is>
      </c>
      <c r="F271" s="8" t="inlineStr">
        <is>
          <t>Public (GET)</t>
        </is>
      </c>
      <c r="G271" s="8" t="inlineStr">
        <is>
          <t>Get ITS equipment summary for grant application</t>
        </is>
      </c>
      <c r="H271" s="8" t="inlineStr">
        <is>
          <t>backend_proxy_server.js</t>
        </is>
      </c>
      <c r="I271" s="8" t="n">
        <v>33648</v>
      </c>
    </row>
    <row r="272">
      <c r="A272" s="5" t="n">
        <v>271</v>
      </c>
      <c r="B272" s="11" t="inlineStr">
        <is>
          <t>POST</t>
        </is>
      </c>
      <c r="C272" s="7" t="inlineStr">
        <is>
          <t>/api/grants/applications/:id/proposal</t>
        </is>
      </c>
      <c r="D272" s="5" t="inlineStr">
        <is>
          <t>grants</t>
        </is>
      </c>
      <c r="E272" s="5" t="inlineStr">
        <is>
          <t>Grants</t>
        </is>
      </c>
      <c r="F272" s="5" t="inlineStr">
        <is>
          <t>Write - check handler</t>
        </is>
      </c>
      <c r="G272" s="5" t="inlineStr">
        <is>
          <t>Upload proposal document for grant application</t>
        </is>
      </c>
      <c r="H272" s="5" t="inlineStr">
        <is>
          <t>backend_proxy_server.js</t>
        </is>
      </c>
      <c r="I272" s="5" t="n">
        <v>33161</v>
      </c>
    </row>
    <row r="273">
      <c r="A273" s="8" t="n">
        <v>272</v>
      </c>
      <c r="B273" s="9" t="inlineStr">
        <is>
          <t>POST</t>
        </is>
      </c>
      <c r="C273" s="10" t="inlineStr">
        <is>
          <t>/api/grants/applications/:id/supporting-data</t>
        </is>
      </c>
      <c r="D273" s="8" t="inlineStr">
        <is>
          <t>grants</t>
        </is>
      </c>
      <c r="E273" s="8" t="inlineStr">
        <is>
          <t>Grants</t>
        </is>
      </c>
      <c r="F273" s="8" t="inlineStr">
        <is>
          <t>Write - check handler</t>
        </is>
      </c>
      <c r="G273" s="8" t="inlineStr">
        <is>
          <t>Attach supporting data to grant application</t>
        </is>
      </c>
      <c r="H273" s="8" t="inlineStr">
        <is>
          <t>backend_proxy_server.js</t>
        </is>
      </c>
      <c r="I273" s="8" t="n">
        <v>33438</v>
      </c>
    </row>
    <row r="274">
      <c r="A274" s="5" t="n">
        <v>273</v>
      </c>
      <c r="B274" s="11" t="inlineStr">
        <is>
          <t>POST</t>
        </is>
      </c>
      <c r="C274" s="7" t="inlineStr">
        <is>
          <t>/api/grants/connected-corridors-match</t>
        </is>
      </c>
      <c r="D274" s="5" t="inlineStr">
        <is>
          <t>grants</t>
        </is>
      </c>
      <c r="E274" s="5" t="inlineStr">
        <is>
          <t>Grants</t>
        </is>
      </c>
      <c r="F274" s="5" t="inlineStr">
        <is>
          <t>Write - check handler</t>
        </is>
      </c>
      <c r="G274" s="5" t="inlineStr">
        <is>
          <t>Connected Corridors Grant Matcher Combines curated grant knowledge with live Grants.gov data Filters for grants aligned with connected corridors strategy</t>
        </is>
      </c>
      <c r="H274" s="5" t="inlineStr">
        <is>
          <t>backend_proxy_server.js</t>
        </is>
      </c>
      <c r="I274" s="5" t="n">
        <v>34353</v>
      </c>
    </row>
    <row r="275">
      <c r="A275" s="8" t="n">
        <v>274</v>
      </c>
      <c r="B275" s="9" t="inlineStr">
        <is>
          <t>POST</t>
        </is>
      </c>
      <c r="C275" s="10" t="inlineStr">
        <is>
          <t>/api/grants/generate-content</t>
        </is>
      </c>
      <c r="D275" s="8" t="inlineStr">
        <is>
          <t>grants</t>
        </is>
      </c>
      <c r="E275" s="8" t="inlineStr">
        <is>
          <t>Grants</t>
        </is>
      </c>
      <c r="F275" s="8" t="inlineStr">
        <is>
          <t>requireAdmin</t>
        </is>
      </c>
      <c r="G275" s="8" t="inlineStr">
        <is>
          <t>Generate grant writing assistance using ChatGPT API Takes application data and ITS inventory to generate ideas and content</t>
        </is>
      </c>
      <c r="H275" s="8" t="inlineStr">
        <is>
          <t>backend_proxy_server.js</t>
        </is>
      </c>
      <c r="I275" s="8" t="n">
        <v>33735</v>
      </c>
    </row>
    <row r="276">
      <c r="A276" s="5" t="n">
        <v>275</v>
      </c>
      <c r="B276" s="11" t="inlineStr">
        <is>
          <t>POST</t>
        </is>
      </c>
      <c r="C276" s="7" t="inlineStr">
        <is>
          <t>/api/grants/generate-letter</t>
        </is>
      </c>
      <c r="D276" s="5" t="inlineStr">
        <is>
          <t>grants</t>
        </is>
      </c>
      <c r="E276" s="5" t="inlineStr">
        <is>
          <t>Grants</t>
        </is>
      </c>
      <c r="F276" s="5" t="inlineStr">
        <is>
          <t>Write - check handler</t>
        </is>
      </c>
      <c r="G276" s="5" t="inlineStr">
        <is>
          <t>Generate support letter from template</t>
        </is>
      </c>
      <c r="H276" s="5" t="inlineStr">
        <is>
          <t>backend_proxy_server.js</t>
        </is>
      </c>
      <c r="I276" s="5" t="n">
        <v>35112</v>
      </c>
    </row>
    <row r="277">
      <c r="A277" s="8" t="n">
        <v>276</v>
      </c>
      <c r="B277" s="9" t="inlineStr">
        <is>
          <t>POST</t>
        </is>
      </c>
      <c r="C277" s="10" t="inlineStr">
        <is>
          <t>/api/grants/generate-narrative</t>
        </is>
      </c>
      <c r="D277" s="8" t="inlineStr">
        <is>
          <t>grants</t>
        </is>
      </c>
      <c r="E277" s="8" t="inlineStr">
        <is>
          <t>Grants</t>
        </is>
      </c>
      <c r="F277" s="8" t="inlineStr">
        <is>
          <t>requireAdmin</t>
        </is>
      </c>
      <c r="G277" s="8" t="inlineStr">
        <is>
          <t>AI-Assisted Grant Narrative Generation (Enhanced with Pooled Fund Support)</t>
        </is>
      </c>
      <c r="H277" s="8" t="inlineStr">
        <is>
          <t>backend_proxy_server.js</t>
        </is>
      </c>
      <c r="I277" s="8" t="n">
        <v>27361</v>
      </c>
    </row>
    <row r="278">
      <c r="A278" s="5" t="n">
        <v>277</v>
      </c>
      <c r="B278" s="6" t="inlineStr">
        <is>
          <t>GET</t>
        </is>
      </c>
      <c r="C278" s="7" t="inlineStr">
        <is>
          <t>/api/grants/letter-templates</t>
        </is>
      </c>
      <c r="D278" s="5" t="inlineStr">
        <is>
          <t>grants</t>
        </is>
      </c>
      <c r="E278" s="5" t="inlineStr">
        <is>
          <t>Grants</t>
        </is>
      </c>
      <c r="F278" s="5" t="inlineStr">
        <is>
          <t>Public (GET)</t>
        </is>
      </c>
      <c r="G278" s="5" t="inlineStr">
        <is>
          <t>Get available support letter templates</t>
        </is>
      </c>
      <c r="H278" s="5" t="inlineStr">
        <is>
          <t>backend_proxy_server.js</t>
        </is>
      </c>
      <c r="I278" s="5" t="n">
        <v>35066</v>
      </c>
    </row>
    <row r="279">
      <c r="A279" s="8" t="n">
        <v>278</v>
      </c>
      <c r="B279" s="12" t="inlineStr">
        <is>
          <t>GET</t>
        </is>
      </c>
      <c r="C279" s="10" t="inlineStr">
        <is>
          <t>/api/grants/monitor-deadlines</t>
        </is>
      </c>
      <c r="D279" s="8" t="inlineStr">
        <is>
          <t>grants</t>
        </is>
      </c>
      <c r="E279" s="8" t="inlineStr">
        <is>
          <t>Grants</t>
        </is>
      </c>
      <c r="F279" s="8" t="inlineStr">
        <is>
          <t>Public (GET)</t>
        </is>
      </c>
      <c r="G279" s="8" t="inlineStr">
        <is>
          <t>Monitor grant deadlines and send alerts</t>
        </is>
      </c>
      <c r="H279" s="8" t="inlineStr">
        <is>
          <t>backend_proxy_server.js</t>
        </is>
      </c>
      <c r="I279" s="8" t="n">
        <v>34643</v>
      </c>
    </row>
    <row r="280">
      <c r="A280" s="5" t="n">
        <v>279</v>
      </c>
      <c r="B280" s="6" t="inlineStr">
        <is>
          <t>GET</t>
        </is>
      </c>
      <c r="C280" s="7" t="inlineStr">
        <is>
          <t>/api/grants/opportunity/:id</t>
        </is>
      </c>
      <c r="D280" s="5" t="inlineStr">
        <is>
          <t>grants</t>
        </is>
      </c>
      <c r="E280" s="5" t="inlineStr">
        <is>
          <t>Grants</t>
        </is>
      </c>
      <c r="F280" s="5" t="inlineStr">
        <is>
          <t>Public (GET)</t>
        </is>
      </c>
      <c r="G280" s="5" t="inlineStr">
        <is>
          <t>Fetch specific opportunity details from Grants.gov</t>
        </is>
      </c>
      <c r="H280" s="5" t="inlineStr">
        <is>
          <t>backend_proxy_server.js</t>
        </is>
      </c>
      <c r="I280" s="5" t="n">
        <v>34315</v>
      </c>
    </row>
    <row r="281">
      <c r="A281" s="8" t="n">
        <v>280</v>
      </c>
      <c r="B281" s="9" t="inlineStr">
        <is>
          <t>POST</t>
        </is>
      </c>
      <c r="C281" s="10" t="inlineStr">
        <is>
          <t>/api/grants/recommend</t>
        </is>
      </c>
      <c r="D281" s="8" t="inlineStr">
        <is>
          <t>grants</t>
        </is>
      </c>
      <c r="E281" s="8" t="inlineStr">
        <is>
          <t>Grants</t>
        </is>
      </c>
      <c r="F281" s="8" t="inlineStr">
        <is>
          <t>Write - check handler</t>
        </is>
      </c>
      <c r="G281" s="8" t="inlineStr">
        <is>
          <t>Get grant recommendations based on project characteristics</t>
        </is>
      </c>
      <c r="H281" s="8" t="inlineStr">
        <is>
          <t>backend_proxy_server.js</t>
        </is>
      </c>
      <c r="I281" s="8" t="n">
        <v>34109</v>
      </c>
    </row>
    <row r="282">
      <c r="A282" s="5" t="n">
        <v>281</v>
      </c>
      <c r="B282" s="11" t="inlineStr">
        <is>
          <t>POST</t>
        </is>
      </c>
      <c r="C282" s="7" t="inlineStr">
        <is>
          <t>/api/grants/score-application</t>
        </is>
      </c>
      <c r="D282" s="5" t="inlineStr">
        <is>
          <t>grants</t>
        </is>
      </c>
      <c r="E282" s="5" t="inlineStr">
        <is>
          <t>Grants</t>
        </is>
      </c>
      <c r="F282" s="5" t="inlineStr">
        <is>
          <t>requireAdmin</t>
        </is>
      </c>
      <c r="G282" s="5" t="inlineStr">
        <is>
          <t>Score a complete grant application against program criteria Provides detailed scoring breakdown by category</t>
        </is>
      </c>
      <c r="H282" s="5" t="inlineStr">
        <is>
          <t>backend_proxy_server.js</t>
        </is>
      </c>
      <c r="I282" s="5" t="n">
        <v>34893</v>
      </c>
    </row>
    <row r="283">
      <c r="A283" s="8" t="n">
        <v>282</v>
      </c>
      <c r="B283" s="9" t="inlineStr">
        <is>
          <t>POST</t>
        </is>
      </c>
      <c r="C283" s="10" t="inlineStr">
        <is>
          <t>/api/grants/search-live</t>
        </is>
      </c>
      <c r="D283" s="8" t="inlineStr">
        <is>
          <t>grants</t>
        </is>
      </c>
      <c r="E283" s="8" t="inlineStr">
        <is>
          <t>Grants</t>
        </is>
      </c>
      <c r="F283" s="8" t="inlineStr">
        <is>
          <t>Write - check handler</t>
        </is>
      </c>
      <c r="G283" s="8" t="inlineStr">
        <is>
          <t>Search live Grants.gov opportunities Integrates with Grants.gov API to find current funding opportunities</t>
        </is>
      </c>
      <c r="H283" s="8" t="inlineStr">
        <is>
          <t>backend_proxy_server.js</t>
        </is>
      </c>
      <c r="I283" s="8" t="n">
        <v>34209</v>
      </c>
    </row>
    <row r="284">
      <c r="A284" s="5" t="n">
        <v>283</v>
      </c>
      <c r="B284" s="6" t="inlineStr">
        <is>
          <t>GET</t>
        </is>
      </c>
      <c r="C284" s="7" t="inlineStr">
        <is>
          <t>/api/grants/success-rates</t>
        </is>
      </c>
      <c r="D284" s="5" t="inlineStr">
        <is>
          <t>grants</t>
        </is>
      </c>
      <c r="E284" s="5" t="inlineStr">
        <is>
          <t>Grants</t>
        </is>
      </c>
      <c r="F284" s="5" t="inlineStr">
        <is>
          <t>Public (GET)</t>
        </is>
      </c>
      <c r="G284" s="5" t="inlineStr">
        <is>
          <t>Get grant success rates summary</t>
        </is>
      </c>
      <c r="H284" s="5" t="inlineStr">
        <is>
          <t>backend_proxy_server.js</t>
        </is>
      </c>
      <c r="I284" s="5" t="n">
        <v>34079</v>
      </c>
    </row>
    <row r="285">
      <c r="A285" s="8" t="n">
        <v>284</v>
      </c>
      <c r="B285" s="12" t="inlineStr">
        <is>
          <t>GET</t>
        </is>
      </c>
      <c r="C285" s="10" t="inlineStr">
        <is>
          <t>/api/grants/templates</t>
        </is>
      </c>
      <c r="D285" s="8" t="inlineStr">
        <is>
          <t>grants</t>
        </is>
      </c>
      <c r="E285" s="8" t="inlineStr">
        <is>
          <t>Grants</t>
        </is>
      </c>
      <c r="F285" s="8" t="inlineStr">
        <is>
          <t>Public (GET)</t>
        </is>
      </c>
      <c r="G285" s="8" t="inlineStr">
        <is>
          <t>Get available grant templates</t>
        </is>
      </c>
      <c r="H285" s="8" t="inlineStr">
        <is>
          <t>backend_proxy_server.js</t>
        </is>
      </c>
      <c r="I285" s="8" t="n">
        <v>34021</v>
      </c>
    </row>
    <row r="286">
      <c r="A286" s="5" t="n">
        <v>285</v>
      </c>
      <c r="B286" s="6" t="inlineStr">
        <is>
          <t>GET</t>
        </is>
      </c>
      <c r="C286" s="7" t="inlineStr">
        <is>
          <t>/api/health</t>
        </is>
      </c>
      <c r="D286" s="5" t="inlineStr">
        <is>
          <t>health</t>
        </is>
      </c>
      <c r="E286" s="5" t="inlineStr">
        <is>
          <t>Platform</t>
        </is>
      </c>
      <c r="F286" s="5" t="inlineStr">
        <is>
          <t>Public (GET)</t>
        </is>
      </c>
      <c r="G286" s="5" t="inlineStr">
        <is>
          <t>Health check endpoint</t>
        </is>
      </c>
      <c r="H286" s="5" t="inlineStr">
        <is>
          <t>backend_proxy_server.js</t>
        </is>
      </c>
      <c r="I286" s="5" t="n">
        <v>7150</v>
      </c>
    </row>
    <row r="287">
      <c r="A287" s="8" t="n">
        <v>286</v>
      </c>
      <c r="B287" s="12" t="inlineStr">
        <is>
          <t>GET</t>
        </is>
      </c>
      <c r="C287" s="10" t="inlineStr">
        <is>
          <t>/api/ia/rams/:layer/query</t>
        </is>
      </c>
      <c r="D287" s="8" t="inlineStr">
        <is>
          <t>ia</t>
        </is>
      </c>
      <c r="E287" s="8" t="inlineStr">
        <is>
          <t>State-specific</t>
        </is>
      </c>
      <c r="F287" s="8" t="inlineStr">
        <is>
          <t>Public (GET)</t>
        </is>
      </c>
      <c r="G287" s="8" t="inlineStr"/>
      <c r="H287" s="8" t="inlineStr">
        <is>
          <t>backend_proxy_server.js</t>
        </is>
      </c>
      <c r="I287" s="8" t="n">
        <v>6559</v>
      </c>
    </row>
    <row r="288">
      <c r="A288" s="5" t="n">
        <v>287</v>
      </c>
      <c r="B288" s="6" t="inlineStr">
        <is>
          <t>GET</t>
        </is>
      </c>
      <c r="C288" s="7" t="inlineStr">
        <is>
          <t>/api/interchanges</t>
        </is>
      </c>
      <c r="D288" s="5" t="inlineStr">
        <is>
          <t>interchanges</t>
        </is>
      </c>
      <c r="E288" s="5" t="inlineStr">
        <is>
          <t>Reference data</t>
        </is>
      </c>
      <c r="F288" s="5" t="inlineStr">
        <is>
          <t>Public (GET)</t>
        </is>
      </c>
      <c r="G288" s="5" t="inlineStr">
        <is>
          <t>Interchange management (admin) Public endpoint to get all active interchanges for map display</t>
        </is>
      </c>
      <c r="H288" s="5" t="inlineStr">
        <is>
          <t>backend_proxy_server.js</t>
        </is>
      </c>
      <c r="I288" s="5" t="n">
        <v>18670</v>
      </c>
    </row>
    <row r="289">
      <c r="A289" s="8" t="n">
        <v>288</v>
      </c>
      <c r="B289" s="12" t="inlineStr">
        <is>
          <t>GET</t>
        </is>
      </c>
      <c r="C289" s="10" t="inlineStr">
        <is>
          <t>/api/ipaws/after-action-reviews</t>
        </is>
      </c>
      <c r="D289" s="8" t="inlineStr">
        <is>
          <t>ipaws</t>
        </is>
      </c>
      <c r="E289" s="8" t="inlineStr">
        <is>
          <t>Emergency alerting</t>
        </is>
      </c>
      <c r="F289" s="8" t="inlineStr">
        <is>
          <t>Public (GET)</t>
        </is>
      </c>
      <c r="G289" s="8" t="inlineStr">
        <is>
          <t>GET /api/ipaws/after-action-reviews - Get all AARs</t>
        </is>
      </c>
      <c r="H289" s="8" t="inlineStr">
        <is>
          <t>backend_proxy_server.js</t>
        </is>
      </c>
      <c r="I289" s="8" t="n">
        <v>16134</v>
      </c>
    </row>
    <row r="290">
      <c r="A290" s="5" t="n">
        <v>289</v>
      </c>
      <c r="B290" s="11" t="inlineStr">
        <is>
          <t>POST</t>
        </is>
      </c>
      <c r="C290" s="7" t="inlineStr">
        <is>
          <t>/api/ipaws/after-action-reviews</t>
        </is>
      </c>
      <c r="D290" s="5" t="inlineStr">
        <is>
          <t>ipaws</t>
        </is>
      </c>
      <c r="E290" s="5" t="inlineStr">
        <is>
          <t>Emergency alerting</t>
        </is>
      </c>
      <c r="F290" s="5" t="inlineStr">
        <is>
          <t>Write - check handler</t>
        </is>
      </c>
      <c r="G290" s="5" t="inlineStr">
        <is>
          <t>POST /api/ipaws/after-action-reviews - Create new AAR</t>
        </is>
      </c>
      <c r="H290" s="5" t="inlineStr">
        <is>
          <t>backend_proxy_server.js</t>
        </is>
      </c>
      <c r="I290" s="5" t="n">
        <v>16193</v>
      </c>
    </row>
    <row r="291">
      <c r="A291" s="8" t="n">
        <v>290</v>
      </c>
      <c r="B291" s="12" t="inlineStr">
        <is>
          <t>GET</t>
        </is>
      </c>
      <c r="C291" s="10" t="inlineStr">
        <is>
          <t>/api/ipaws/after-action-reviews/outstanding</t>
        </is>
      </c>
      <c r="D291" s="8" t="inlineStr">
        <is>
          <t>ipaws</t>
        </is>
      </c>
      <c r="E291" s="8" t="inlineStr">
        <is>
          <t>Emergency alerting</t>
        </is>
      </c>
      <c r="F291" s="8" t="inlineStr">
        <is>
          <t>Public (GET)</t>
        </is>
      </c>
      <c r="G291" s="8" t="inlineStr">
        <is>
          <t>GET /api/ipaws/after-action-reviews/outstanding - Get AARs due/overdue</t>
        </is>
      </c>
      <c r="H291" s="8" t="inlineStr">
        <is>
          <t>backend_proxy_server.js</t>
        </is>
      </c>
      <c r="I291" s="8" t="n">
        <v>16173</v>
      </c>
    </row>
    <row r="292">
      <c r="A292" s="5" t="n">
        <v>291</v>
      </c>
      <c r="B292" s="6" t="inlineStr">
        <is>
          <t>GET</t>
        </is>
      </c>
      <c r="C292" s="7" t="inlineStr">
        <is>
          <t>/api/ipaws/alerts</t>
        </is>
      </c>
      <c r="D292" s="5" t="inlineStr">
        <is>
          <t>ipaws</t>
        </is>
      </c>
      <c r="E292" s="5" t="inlineStr">
        <is>
          <t>Emergency alerting</t>
        </is>
      </c>
      <c r="F292" s="5" t="inlineStr">
        <is>
          <t>Public (GET)</t>
        </is>
      </c>
      <c r="G292" s="5" t="inlineStr">
        <is>
          <t>GET /api/ipaws/alerts - Get all IPAWS alerts from audit log</t>
        </is>
      </c>
      <c r="H292" s="5" t="inlineStr">
        <is>
          <t>backend_proxy_server.js</t>
        </is>
      </c>
      <c r="I292" s="5" t="n">
        <v>15098</v>
      </c>
    </row>
    <row r="293">
      <c r="A293" s="8" t="n">
        <v>292</v>
      </c>
      <c r="B293" s="15" t="inlineStr">
        <is>
          <t>DELETE</t>
        </is>
      </c>
      <c r="C293" s="10" t="inlineStr">
        <is>
          <t>/api/ipaws/alerts/:alertId</t>
        </is>
      </c>
      <c r="D293" s="8" t="inlineStr">
        <is>
          <t>ipaws</t>
        </is>
      </c>
      <c r="E293" s="8" t="inlineStr">
        <is>
          <t>Emergency alerting</t>
        </is>
      </c>
      <c r="F293" s="8" t="inlineStr">
        <is>
          <t>Write - check handler</t>
        </is>
      </c>
      <c r="G293" s="8" t="inlineStr">
        <is>
          <t>DELETE /api/ipaws/alerts/:alertId - Delete an IPAWS alert (training mode or draft only)</t>
        </is>
      </c>
      <c r="H293" s="8" t="inlineStr">
        <is>
          <t>backend_proxy_server.js</t>
        </is>
      </c>
      <c r="I293" s="8" t="n">
        <v>15236</v>
      </c>
    </row>
    <row r="294">
      <c r="A294" s="5" t="n">
        <v>293</v>
      </c>
      <c r="B294" s="6" t="inlineStr">
        <is>
          <t>GET</t>
        </is>
      </c>
      <c r="C294" s="7" t="inlineStr">
        <is>
          <t>/api/ipaws/alerts/:alertId</t>
        </is>
      </c>
      <c r="D294" s="5" t="inlineStr">
        <is>
          <t>ipaws</t>
        </is>
      </c>
      <c r="E294" s="5" t="inlineStr">
        <is>
          <t>Emergency alerting</t>
        </is>
      </c>
      <c r="F294" s="5" t="inlineStr">
        <is>
          <t>Public (GET)</t>
        </is>
      </c>
      <c r="G294" s="5" t="inlineStr">
        <is>
          <t>GET /api/ipaws/alerts/:alertId - Get specific alert by ID</t>
        </is>
      </c>
      <c r="H294" s="5" t="inlineStr">
        <is>
          <t>backend_proxy_server.js</t>
        </is>
      </c>
      <c r="I294" s="5" t="n">
        <v>15149</v>
      </c>
    </row>
    <row r="295">
      <c r="A295" s="8" t="n">
        <v>294</v>
      </c>
      <c r="B295" s="9" t="inlineStr">
        <is>
          <t>POST</t>
        </is>
      </c>
      <c r="C295" s="10" t="inlineStr">
        <is>
          <t>/api/ipaws/alerts/:alertId/cancel</t>
        </is>
      </c>
      <c r="D295" s="8" t="inlineStr">
        <is>
          <t>ipaws</t>
        </is>
      </c>
      <c r="E295" s="8" t="inlineStr">
        <is>
          <t>Emergency alerting</t>
        </is>
      </c>
      <c r="F295" s="8" t="inlineStr">
        <is>
          <t>Write - check handler</t>
        </is>
      </c>
      <c r="G295" s="8" t="inlineStr">
        <is>
          <t>POST /api/ipaws/alerts/:alertId/cancel - Cancel an active alert (SOP Section 8.6)</t>
        </is>
      </c>
      <c r="H295" s="8" t="inlineStr">
        <is>
          <t>backend_proxy_server.js</t>
        </is>
      </c>
      <c r="I295" s="8" t="n">
        <v>15179</v>
      </c>
    </row>
    <row r="296">
      <c r="A296" s="5" t="n">
        <v>295</v>
      </c>
      <c r="B296" s="11" t="inlineStr">
        <is>
          <t>POST</t>
        </is>
      </c>
      <c r="C296" s="7" t="inlineStr">
        <is>
          <t>/api/ipaws/alerts/:alertId/issue</t>
        </is>
      </c>
      <c r="D296" s="5" t="inlineStr">
        <is>
          <t>ipaws</t>
        </is>
      </c>
      <c r="E296" s="5" t="inlineStr">
        <is>
          <t>Emergency alerting</t>
        </is>
      </c>
      <c r="F296" s="5" t="inlineStr">
        <is>
          <t>Write - check handler</t>
        </is>
      </c>
      <c r="G296" s="5" t="inlineStr">
        <is>
          <t>POST /api/ipaws/alerts/:alertId/issue - Mark alert as issued (sent to IPAWS)</t>
        </is>
      </c>
      <c r="H296" s="5" t="inlineStr">
        <is>
          <t>backend_proxy_server.js</t>
        </is>
      </c>
      <c r="I296" s="5" t="n">
        <v>15330</v>
      </c>
    </row>
    <row r="297">
      <c r="A297" s="8" t="n">
        <v>296</v>
      </c>
      <c r="B297" s="9" t="inlineStr">
        <is>
          <t>POST</t>
        </is>
      </c>
      <c r="C297" s="10" t="inlineStr">
        <is>
          <t>/api/ipaws/alerts/:alertId/review</t>
        </is>
      </c>
      <c r="D297" s="8" t="inlineStr">
        <is>
          <t>ipaws</t>
        </is>
      </c>
      <c r="E297" s="8" t="inlineStr">
        <is>
          <t>Emergency alerting</t>
        </is>
      </c>
      <c r="F297" s="8" t="inlineStr">
        <is>
          <t>Write - check handler</t>
        </is>
      </c>
      <c r="G297" s="8" t="inlineStr">
        <is>
          <t>POST /api/ipaws/alerts/:alertId/review - Submit after-action review (SOP Section 11)</t>
        </is>
      </c>
      <c r="H297" s="8" t="inlineStr">
        <is>
          <t>backend_proxy_server.js</t>
        </is>
      </c>
      <c r="I297" s="8" t="n">
        <v>15369</v>
      </c>
    </row>
    <row r="298">
      <c r="A298" s="5" t="n">
        <v>297</v>
      </c>
      <c r="B298" s="11" t="inlineStr">
        <is>
          <t>POST</t>
        </is>
      </c>
      <c r="C298" s="7" t="inlineStr">
        <is>
          <t>/api/ipaws/alerts/:alertId/update</t>
        </is>
      </c>
      <c r="D298" s="5" t="inlineStr">
        <is>
          <t>ipaws</t>
        </is>
      </c>
      <c r="E298" s="5" t="inlineStr">
        <is>
          <t>Emergency alerting</t>
        </is>
      </c>
      <c r="F298" s="5" t="inlineStr">
        <is>
          <t>Write - check handler</t>
        </is>
      </c>
      <c r="G298" s="5" t="inlineStr">
        <is>
          <t>POST /api/ipaws/alerts/:alertId/update - Update an active alert (SOP Section 8.6)</t>
        </is>
      </c>
      <c r="H298" s="5" t="inlineStr">
        <is>
          <t>backend_proxy_server.js</t>
        </is>
      </c>
      <c r="I298" s="5" t="n">
        <v>15284</v>
      </c>
    </row>
    <row r="299">
      <c r="A299" s="8" t="n">
        <v>298</v>
      </c>
      <c r="B299" s="12" t="inlineStr">
        <is>
          <t>GET</t>
        </is>
      </c>
      <c r="C299" s="10" t="inlineStr">
        <is>
          <t>/api/ipaws/alerts/active</t>
        </is>
      </c>
      <c r="D299" s="8" t="inlineStr">
        <is>
          <t>ipaws</t>
        </is>
      </c>
      <c r="E299" s="8" t="inlineStr">
        <is>
          <t>Emergency alerting</t>
        </is>
      </c>
      <c r="F299" s="8" t="inlineStr">
        <is>
          <t>Public (GET)</t>
        </is>
      </c>
      <c r="G299" s="8" t="inlineStr">
        <is>
          <t>GET /api/ipaws/alerts/active - Get currently active alerts (using lightweight logger)</t>
        </is>
      </c>
      <c r="H299" s="8" t="inlineStr">
        <is>
          <t>backend_proxy_server.js</t>
        </is>
      </c>
      <c r="I299" s="8" t="n">
        <v>15129</v>
      </c>
    </row>
    <row r="300">
      <c r="A300" s="5" t="n">
        <v>299</v>
      </c>
      <c r="B300" s="11" t="inlineStr">
        <is>
          <t>POST</t>
        </is>
      </c>
      <c r="C300" s="7" t="inlineStr">
        <is>
          <t>/api/ipaws/alerts/export-hsemd</t>
        </is>
      </c>
      <c r="D300" s="5" t="inlineStr">
        <is>
          <t>ipaws</t>
        </is>
      </c>
      <c r="E300" s="5" t="inlineStr">
        <is>
          <t>Emergency alerting</t>
        </is>
      </c>
      <c r="F300" s="5" t="inlineStr">
        <is>
          <t>Write - check handler</t>
        </is>
      </c>
      <c r="G300" s="5" t="inlineStr">
        <is>
          <t>POST /api/ipaws/alerts/export-hsemd - Export logs for HSEMD coordination (SOP Section 11)</t>
        </is>
      </c>
      <c r="H300" s="5" t="inlineStr">
        <is>
          <t>backend_proxy_server.js</t>
        </is>
      </c>
      <c r="I300" s="5" t="n">
        <v>15410</v>
      </c>
    </row>
    <row r="301">
      <c r="A301" s="8" t="n">
        <v>300</v>
      </c>
      <c r="B301" s="12" t="inlineStr">
        <is>
          <t>GET</t>
        </is>
      </c>
      <c r="C301" s="10" t="inlineStr">
        <is>
          <t>/api/ipaws/certifications/expiring</t>
        </is>
      </c>
      <c r="D301" s="8" t="inlineStr">
        <is>
          <t>ipaws</t>
        </is>
      </c>
      <c r="E301" s="8" t="inlineStr">
        <is>
          <t>Emergency alerting</t>
        </is>
      </c>
      <c r="F301" s="8" t="inlineStr">
        <is>
          <t>Public (GET)</t>
        </is>
      </c>
      <c r="G301" s="8" t="inlineStr">
        <is>
          <t>GET /api/ipaws/certifications/expiring - Get expiring certifications</t>
        </is>
      </c>
      <c r="H301" s="8" t="inlineStr">
        <is>
          <t>backend_proxy_server.js</t>
        </is>
      </c>
      <c r="I301" s="8" t="n">
        <v>16050</v>
      </c>
    </row>
    <row r="302">
      <c r="A302" s="5" t="n">
        <v>301</v>
      </c>
      <c r="B302" s="11" t="inlineStr">
        <is>
          <t>POST</t>
        </is>
      </c>
      <c r="C302" s="7" t="inlineStr">
        <is>
          <t>/api/ipaws/evaluate</t>
        </is>
      </c>
      <c r="D302" s="5" t="inlineStr">
        <is>
          <t>ipaws</t>
        </is>
      </c>
      <c r="E302" s="5" t="inlineStr">
        <is>
          <t>Emergency alerting</t>
        </is>
      </c>
      <c r="F302" s="5" t="inlineStr">
        <is>
          <t>Write - check handler</t>
        </is>
      </c>
      <c r="G302" s="5" t="inlineStr">
        <is>
          <t>POST /api/ipaws/evaluate - Evaluate if event qualifies for IPAWS</t>
        </is>
      </c>
      <c r="H302" s="5" t="inlineStr">
        <is>
          <t>backend_proxy_server.js</t>
        </is>
      </c>
      <c r="I302" s="5" t="n">
        <v>14991</v>
      </c>
    </row>
    <row r="303">
      <c r="A303" s="8" t="n">
        <v>302</v>
      </c>
      <c r="B303" s="9" t="inlineStr">
        <is>
          <t>POST</t>
        </is>
      </c>
      <c r="C303" s="10" t="inlineStr">
        <is>
          <t>/api/ipaws/evaluate-rules</t>
        </is>
      </c>
      <c r="D303" s="8" t="inlineStr">
        <is>
          <t>ipaws</t>
        </is>
      </c>
      <c r="E303" s="8" t="inlineStr">
        <is>
          <t>Emergency alerting</t>
        </is>
      </c>
      <c r="F303" s="8" t="inlineStr">
        <is>
          <t>Write - check handler</t>
        </is>
      </c>
      <c r="G303" s="8" t="inlineStr">
        <is>
          <t>POST /api/ipaws/evaluate-rules - Evaluate event against all active rules</t>
        </is>
      </c>
      <c r="H303" s="8" t="inlineStr">
        <is>
          <t>backend_proxy_server.js</t>
        </is>
      </c>
      <c r="I303" s="8" t="n">
        <v>15685</v>
      </c>
    </row>
    <row r="304">
      <c r="A304" s="5" t="n">
        <v>303</v>
      </c>
      <c r="B304" s="11" t="inlineStr">
        <is>
          <t>POST</t>
        </is>
      </c>
      <c r="C304" s="7" t="inlineStr">
        <is>
          <t>/api/ipaws/generate</t>
        </is>
      </c>
      <c r="D304" s="5" t="inlineStr">
        <is>
          <t>ipaws</t>
        </is>
      </c>
      <c r="E304" s="5" t="inlineStr">
        <is>
          <t>Emergency alerting</t>
        </is>
      </c>
      <c r="F304" s="5" t="inlineStr">
        <is>
          <t>Write - check handler</t>
        </is>
      </c>
      <c r="G304" s="5" t="inlineStr">
        <is>
          <t>POST /api/ipaws/generate - Generate IPAWS alert for an event</t>
        </is>
      </c>
      <c r="H304" s="5" t="inlineStr">
        <is>
          <t>backend_proxy_server.js</t>
        </is>
      </c>
      <c r="I304" s="5" t="n">
        <v>14815</v>
      </c>
    </row>
    <row r="305">
      <c r="A305" s="8" t="n">
        <v>304</v>
      </c>
      <c r="B305" s="12" t="inlineStr">
        <is>
          <t>GET</t>
        </is>
      </c>
      <c r="C305" s="10" t="inlineStr">
        <is>
          <t>/api/ipaws/rules</t>
        </is>
      </c>
      <c r="D305" s="8" t="inlineStr">
        <is>
          <t>ipaws</t>
        </is>
      </c>
      <c r="E305" s="8" t="inlineStr">
        <is>
          <t>Emergency alerting</t>
        </is>
      </c>
      <c r="F305" s="8" t="inlineStr">
        <is>
          <t>Public (GET)</t>
        </is>
      </c>
      <c r="G305" s="8" t="inlineStr">
        <is>
          <t>GET /api/ipaws/rules - Get all IPAWS alert rules</t>
        </is>
      </c>
      <c r="H305" s="8" t="inlineStr">
        <is>
          <t>backend_proxy_server.js</t>
        </is>
      </c>
      <c r="I305" s="8" t="n">
        <v>15499</v>
      </c>
    </row>
    <row r="306">
      <c r="A306" s="5" t="n">
        <v>305</v>
      </c>
      <c r="B306" s="11" t="inlineStr">
        <is>
          <t>POST</t>
        </is>
      </c>
      <c r="C306" s="7" t="inlineStr">
        <is>
          <t>/api/ipaws/rules</t>
        </is>
      </c>
      <c r="D306" s="5" t="inlineStr">
        <is>
          <t>ipaws</t>
        </is>
      </c>
      <c r="E306" s="5" t="inlineStr">
        <is>
          <t>Emergency alerting</t>
        </is>
      </c>
      <c r="F306" s="5" t="inlineStr">
        <is>
          <t>requireAdmin</t>
        </is>
      </c>
      <c r="G306" s="5" t="inlineStr">
        <is>
          <t>POST /api/ipaws/rules - Create new IPAWS alert rule</t>
        </is>
      </c>
      <c r="H306" s="5" t="inlineStr">
        <is>
          <t>backend_proxy_server.js</t>
        </is>
      </c>
      <c r="I306" s="5" t="n">
        <v>15526</v>
      </c>
    </row>
    <row r="307">
      <c r="A307" s="8" t="n">
        <v>306</v>
      </c>
      <c r="B307" s="15" t="inlineStr">
        <is>
          <t>DELETE</t>
        </is>
      </c>
      <c r="C307" s="10" t="inlineStr">
        <is>
          <t>/api/ipaws/rules/:id</t>
        </is>
      </c>
      <c r="D307" s="8" t="inlineStr">
        <is>
          <t>ipaws</t>
        </is>
      </c>
      <c r="E307" s="8" t="inlineStr">
        <is>
          <t>Emergency alerting</t>
        </is>
      </c>
      <c r="F307" s="8" t="inlineStr">
        <is>
          <t>requireAdmin</t>
        </is>
      </c>
      <c r="G307" s="8" t="inlineStr">
        <is>
          <t>DELETE /api/ipaws/rules/:id - Delete IPAWS alert rule</t>
        </is>
      </c>
      <c r="H307" s="8" t="inlineStr">
        <is>
          <t>backend_proxy_server.js</t>
        </is>
      </c>
      <c r="I307" s="8" t="n">
        <v>15648</v>
      </c>
    </row>
    <row r="308">
      <c r="A308" s="5" t="n">
        <v>307</v>
      </c>
      <c r="B308" s="16" t="inlineStr">
        <is>
          <t>PUT</t>
        </is>
      </c>
      <c r="C308" s="7" t="inlineStr">
        <is>
          <t>/api/ipaws/rules/:id</t>
        </is>
      </c>
      <c r="D308" s="5" t="inlineStr">
        <is>
          <t>ipaws</t>
        </is>
      </c>
      <c r="E308" s="5" t="inlineStr">
        <is>
          <t>Emergency alerting</t>
        </is>
      </c>
      <c r="F308" s="5" t="inlineStr">
        <is>
          <t>requireAdmin</t>
        </is>
      </c>
      <c r="G308" s="5" t="inlineStr">
        <is>
          <t>PUT /api/ipaws/rules/:id - Update IPAWS alert rule</t>
        </is>
      </c>
      <c r="H308" s="5" t="inlineStr">
        <is>
          <t>backend_proxy_server.js</t>
        </is>
      </c>
      <c r="I308" s="5" t="n">
        <v>15583</v>
      </c>
    </row>
    <row r="309">
      <c r="A309" s="8" t="n">
        <v>308</v>
      </c>
      <c r="B309" s="9" t="inlineStr">
        <is>
          <t>POST</t>
        </is>
      </c>
      <c r="C309" s="10" t="inlineStr">
        <is>
          <t>/api/ipaws/submit</t>
        </is>
      </c>
      <c r="D309" s="8" t="inlineStr">
        <is>
          <t>ipaws</t>
        </is>
      </c>
      <c r="E309" s="8" t="inlineStr">
        <is>
          <t>Emergency alerting</t>
        </is>
      </c>
      <c r="F309" s="8" t="inlineStr">
        <is>
          <t>Write - check handler</t>
        </is>
      </c>
      <c r="G309" s="8" t="inlineStr">
        <is>
          <t>POST /api/ipaws/submit - Submit IPAWS alert for supervisor approval</t>
        </is>
      </c>
      <c r="H309" s="8" t="inlineStr">
        <is>
          <t>backend_proxy_server.js</t>
        </is>
      </c>
      <c r="I309" s="8" t="n">
        <v>15772</v>
      </c>
    </row>
    <row r="310">
      <c r="A310" s="5" t="n">
        <v>309</v>
      </c>
      <c r="B310" s="6" t="inlineStr">
        <is>
          <t>GET</t>
        </is>
      </c>
      <c r="C310" s="7" t="inlineStr">
        <is>
          <t>/api/ipaws/summary/:eventId</t>
        </is>
      </c>
      <c r="D310" s="5" t="inlineStr">
        <is>
          <t>ipaws</t>
        </is>
      </c>
      <c r="E310" s="5" t="inlineStr">
        <is>
          <t>Emergency alerting</t>
        </is>
      </c>
      <c r="F310" s="5" t="inlineStr">
        <is>
          <t>Public (GET)</t>
        </is>
      </c>
      <c r="G310" s="5" t="inlineStr">
        <is>
          <t>GET /api/ipaws/summary/:eventId - Get alert summary for display</t>
        </is>
      </c>
      <c r="H310" s="5" t="inlineStr">
        <is>
          <t>backend_proxy_server.js</t>
        </is>
      </c>
      <c r="I310" s="5" t="n">
        <v>15061</v>
      </c>
    </row>
    <row r="311">
      <c r="A311" s="8" t="n">
        <v>310</v>
      </c>
      <c r="B311" s="12" t="inlineStr">
        <is>
          <t>GET</t>
        </is>
      </c>
      <c r="C311" s="10" t="inlineStr">
        <is>
          <t>/api/ipaws/templates</t>
        </is>
      </c>
      <c r="D311" s="8" t="inlineStr">
        <is>
          <t>ipaws</t>
        </is>
      </c>
      <c r="E311" s="8" t="inlineStr">
        <is>
          <t>Emergency alerting</t>
        </is>
      </c>
      <c r="F311" s="8" t="inlineStr">
        <is>
          <t>Public (GET)</t>
        </is>
      </c>
      <c r="G311" s="8" t="inlineStr">
        <is>
          <t>GET /api/ipaws/templates - Get all SOP Appendix A message templates</t>
        </is>
      </c>
      <c r="H311" s="8" t="inlineStr">
        <is>
          <t>backend_proxy_server.js</t>
        </is>
      </c>
      <c r="I311" s="8" t="n">
        <v>15018</v>
      </c>
    </row>
    <row r="312">
      <c r="A312" s="5" t="n">
        <v>311</v>
      </c>
      <c r="B312" s="11" t="inlineStr">
        <is>
          <t>POST</t>
        </is>
      </c>
      <c r="C312" s="7" t="inlineStr">
        <is>
          <t>/api/ipaws/templates/recommend</t>
        </is>
      </c>
      <c r="D312" s="5" t="inlineStr">
        <is>
          <t>ipaws</t>
        </is>
      </c>
      <c r="E312" s="5" t="inlineStr">
        <is>
          <t>Emergency alerting</t>
        </is>
      </c>
      <c r="F312" s="5" t="inlineStr">
        <is>
          <t>Write - check handler</t>
        </is>
      </c>
      <c r="G312" s="5" t="inlineStr">
        <is>
          <t>POST /api/ipaws/templates/recommend - Get recommended template for an event</t>
        </is>
      </c>
      <c r="H312" s="5" t="inlineStr">
        <is>
          <t>backend_proxy_server.js</t>
        </is>
      </c>
      <c r="I312" s="5" t="n">
        <v>15035</v>
      </c>
    </row>
    <row r="313">
      <c r="A313" s="8" t="n">
        <v>312</v>
      </c>
      <c r="B313" s="9" t="inlineStr">
        <is>
          <t>POST</t>
        </is>
      </c>
      <c r="C313" s="10" t="inlineStr">
        <is>
          <t>/api/ipaws/training</t>
        </is>
      </c>
      <c r="D313" s="8" t="inlineStr">
        <is>
          <t>ipaws</t>
        </is>
      </c>
      <c r="E313" s="8" t="inlineStr">
        <is>
          <t>Emergency alerting</t>
        </is>
      </c>
      <c r="F313" s="8" t="inlineStr">
        <is>
          <t>Write - check handler</t>
        </is>
      </c>
      <c r="G313" s="8" t="inlineStr">
        <is>
          <t>POST /api/ipaws/training - Log training session</t>
        </is>
      </c>
      <c r="H313" s="8" t="inlineStr">
        <is>
          <t>backend_proxy_server.js</t>
        </is>
      </c>
      <c r="I313" s="8" t="n">
        <v>16070</v>
      </c>
    </row>
    <row r="314">
      <c r="A314" s="5" t="n">
        <v>313</v>
      </c>
      <c r="B314" s="6" t="inlineStr">
        <is>
          <t>GET</t>
        </is>
      </c>
      <c r="C314" s="7" t="inlineStr">
        <is>
          <t>/api/ipaws/users</t>
        </is>
      </c>
      <c r="D314" s="5" t="inlineStr">
        <is>
          <t>ipaws</t>
        </is>
      </c>
      <c r="E314" s="5" t="inlineStr">
        <is>
          <t>Emergency alerting</t>
        </is>
      </c>
      <c r="F314" s="5" t="inlineStr">
        <is>
          <t>Public (GET)</t>
        </is>
      </c>
      <c r="G314" s="5" t="inlineStr">
        <is>
          <t>GET /api/ipaws/users - Get all authorized IPAWS users</t>
        </is>
      </c>
      <c r="H314" s="5" t="inlineStr">
        <is>
          <t>backend_proxy_server.js</t>
        </is>
      </c>
      <c r="I314" s="5" t="n">
        <v>15828</v>
      </c>
    </row>
    <row r="315">
      <c r="A315" s="8" t="n">
        <v>314</v>
      </c>
      <c r="B315" s="9" t="inlineStr">
        <is>
          <t>POST</t>
        </is>
      </c>
      <c r="C315" s="10" t="inlineStr">
        <is>
          <t>/api/ipaws/users</t>
        </is>
      </c>
      <c r="D315" s="8" t="inlineStr">
        <is>
          <t>ipaws</t>
        </is>
      </c>
      <c r="E315" s="8" t="inlineStr">
        <is>
          <t>Emergency alerting</t>
        </is>
      </c>
      <c r="F315" s="8" t="inlineStr">
        <is>
          <t>requireAdmin</t>
        </is>
      </c>
      <c r="G315" s="8" t="inlineStr">
        <is>
          <t>POST /api/ipaws/users - Create new authorized user</t>
        </is>
      </c>
      <c r="H315" s="8" t="inlineStr">
        <is>
          <t>backend_proxy_server.js</t>
        </is>
      </c>
      <c r="I315" s="8" t="n">
        <v>15884</v>
      </c>
    </row>
    <row r="316">
      <c r="A316" s="5" t="n">
        <v>315</v>
      </c>
      <c r="B316" s="6" t="inlineStr">
        <is>
          <t>GET</t>
        </is>
      </c>
      <c r="C316" s="7" t="inlineStr">
        <is>
          <t>/api/ipaws/users/:userId</t>
        </is>
      </c>
      <c r="D316" s="5" t="inlineStr">
        <is>
          <t>ipaws</t>
        </is>
      </c>
      <c r="E316" s="5" t="inlineStr">
        <is>
          <t>Emergency alerting</t>
        </is>
      </c>
      <c r="F316" s="5" t="inlineStr">
        <is>
          <t>Public (GET)</t>
        </is>
      </c>
      <c r="G316" s="5" t="inlineStr">
        <is>
          <t>GET /api/ipaws/users/:userId - Get specific user details</t>
        </is>
      </c>
      <c r="H316" s="5" t="inlineStr">
        <is>
          <t>backend_proxy_server.js</t>
        </is>
      </c>
      <c r="I316" s="5" t="n">
        <v>15857</v>
      </c>
    </row>
    <row r="317">
      <c r="A317" s="8" t="n">
        <v>316</v>
      </c>
      <c r="B317" s="14" t="inlineStr">
        <is>
          <t>PUT</t>
        </is>
      </c>
      <c r="C317" s="10" t="inlineStr">
        <is>
          <t>/api/ipaws/users/:userId</t>
        </is>
      </c>
      <c r="D317" s="8" t="inlineStr">
        <is>
          <t>ipaws</t>
        </is>
      </c>
      <c r="E317" s="8" t="inlineStr">
        <is>
          <t>Emergency alerting</t>
        </is>
      </c>
      <c r="F317" s="8" t="inlineStr">
        <is>
          <t>requireAdmin</t>
        </is>
      </c>
      <c r="G317" s="8" t="inlineStr">
        <is>
          <t>PUT /api/ipaws/users/:userId - Update user certification/authorization</t>
        </is>
      </c>
      <c r="H317" s="8" t="inlineStr">
        <is>
          <t>backend_proxy_server.js</t>
        </is>
      </c>
      <c r="I317" s="8" t="n">
        <v>15958</v>
      </c>
    </row>
    <row r="318">
      <c r="A318" s="5" t="n">
        <v>317</v>
      </c>
      <c r="B318" s="6" t="inlineStr">
        <is>
          <t>GET</t>
        </is>
      </c>
      <c r="C318" s="7" t="inlineStr">
        <is>
          <t>/api/ipaws/users/:userId/violations-summary</t>
        </is>
      </c>
      <c r="D318" s="5" t="inlineStr">
        <is>
          <t>ipaws</t>
        </is>
      </c>
      <c r="E318" s="5" t="inlineStr">
        <is>
          <t>Emergency alerting</t>
        </is>
      </c>
      <c r="F318" s="5" t="inlineStr">
        <is>
          <t>Public (GET)</t>
        </is>
      </c>
      <c r="G318" s="5" t="inlineStr">
        <is>
          <t>GET /api/ipaws/users/:userId/violations-summary - Get violation summary for user</t>
        </is>
      </c>
      <c r="H318" s="5" t="inlineStr">
        <is>
          <t>backend_proxy_server.js</t>
        </is>
      </c>
      <c r="I318" s="5" t="n">
        <v>16416</v>
      </c>
    </row>
    <row r="319">
      <c r="A319" s="8" t="n">
        <v>318</v>
      </c>
      <c r="B319" s="12" t="inlineStr">
        <is>
          <t>GET</t>
        </is>
      </c>
      <c r="C319" s="10" t="inlineStr">
        <is>
          <t>/api/ipaws/users/refresher-due</t>
        </is>
      </c>
      <c r="D319" s="8" t="inlineStr">
        <is>
          <t>ipaws</t>
        </is>
      </c>
      <c r="E319" s="8" t="inlineStr">
        <is>
          <t>Emergency alerting</t>
        </is>
      </c>
      <c r="F319" s="8" t="inlineStr">
        <is>
          <t>Public (GET)</t>
        </is>
      </c>
      <c r="G319" s="8" t="inlineStr">
        <is>
          <t>GET /api/ipaws/users/refresher-due - Get users needing refresher training</t>
        </is>
      </c>
      <c r="H319" s="8" t="inlineStr">
        <is>
          <t>backend_proxy_server.js</t>
        </is>
      </c>
      <c r="I319" s="8" t="n">
        <v>16030</v>
      </c>
    </row>
    <row r="320">
      <c r="A320" s="5" t="n">
        <v>319</v>
      </c>
      <c r="B320" s="6" t="inlineStr">
        <is>
          <t>GET</t>
        </is>
      </c>
      <c r="C320" s="7" t="inlineStr">
        <is>
          <t>/api/ipaws/violations</t>
        </is>
      </c>
      <c r="D320" s="5" t="inlineStr">
        <is>
          <t>ipaws</t>
        </is>
      </c>
      <c r="E320" s="5" t="inlineStr">
        <is>
          <t>Emergency alerting</t>
        </is>
      </c>
      <c r="F320" s="5" t="inlineStr">
        <is>
          <t>Public (GET)</t>
        </is>
      </c>
      <c r="G320" s="5" t="inlineStr">
        <is>
          <t>GET /api/ipaws/violations - Get policy violations</t>
        </is>
      </c>
      <c r="H320" s="5" t="inlineStr">
        <is>
          <t>backend_proxy_server.js</t>
        </is>
      </c>
      <c r="I320" s="5" t="n">
        <v>16286</v>
      </c>
    </row>
    <row r="321">
      <c r="A321" s="8" t="n">
        <v>320</v>
      </c>
      <c r="B321" s="9" t="inlineStr">
        <is>
          <t>POST</t>
        </is>
      </c>
      <c r="C321" s="10" t="inlineStr">
        <is>
          <t>/api/ipaws/violations</t>
        </is>
      </c>
      <c r="D321" s="8" t="inlineStr">
        <is>
          <t>ipaws</t>
        </is>
      </c>
      <c r="E321" s="8" t="inlineStr">
        <is>
          <t>Emergency alerting</t>
        </is>
      </c>
      <c r="F321" s="8" t="inlineStr">
        <is>
          <t>requireAdmin</t>
        </is>
      </c>
      <c r="G321" s="8" t="inlineStr">
        <is>
          <t>POST /api/ipaws/violations - Log a policy violation</t>
        </is>
      </c>
      <c r="H321" s="8" t="inlineStr">
        <is>
          <t>backend_proxy_server.js</t>
        </is>
      </c>
      <c r="I321" s="8" t="n">
        <v>16331</v>
      </c>
    </row>
    <row r="322">
      <c r="A322" s="5" t="n">
        <v>321</v>
      </c>
      <c r="B322" s="6" t="inlineStr">
        <is>
          <t>GET</t>
        </is>
      </c>
      <c r="C322" s="7" t="inlineStr">
        <is>
          <t>/api/its-equipment</t>
        </is>
      </c>
      <c r="D322" s="5" t="inlineStr">
        <is>
          <t>its-equipment</t>
        </is>
      </c>
      <c r="E322" s="5" t="inlineStr">
        <is>
          <t>ITS / infrastructure</t>
        </is>
      </c>
      <c r="F322" s="5" t="inlineStr">
        <is>
          <t>Public (GET)</t>
        </is>
      </c>
      <c r="G322" s="5" t="inlineStr">
        <is>
          <t>Get ITS equipment inventory</t>
        </is>
      </c>
      <c r="H322" s="5" t="inlineStr">
        <is>
          <t>backend_proxy_server.js</t>
        </is>
      </c>
      <c r="I322" s="5" t="n">
        <v>25905</v>
      </c>
    </row>
    <row r="323">
      <c r="A323" s="8" t="n">
        <v>322</v>
      </c>
      <c r="B323" s="9" t="inlineStr">
        <is>
          <t>POST</t>
        </is>
      </c>
      <c r="C323" s="10" t="inlineStr">
        <is>
          <t>/api/its-equipment/along-corridor</t>
        </is>
      </c>
      <c r="D323" s="8" t="inlineStr">
        <is>
          <t>its-equipment</t>
        </is>
      </c>
      <c r="E323" s="8" t="inlineStr">
        <is>
          <t>ITS / infrastructure</t>
        </is>
      </c>
      <c r="F323" s="8" t="inlineStr">
        <is>
          <t>Write - check handler</t>
        </is>
      </c>
      <c r="G323" s="8" t="inlineStr">
        <is>
          <t>event_id  — preferred; backend looks up the un-slimmed geometry from cache geometry  — GeoJSON LineString or Point; lets callers pass explicit shape radius    — miles of perpendicular distance from the corridor (default 2) corridor  — optional route filter ("I-80") — keeps cameras on the same highwa</t>
        </is>
      </c>
      <c r="H323" s="8" t="inlineStr">
        <is>
          <t>backend_proxy_server.js</t>
        </is>
      </c>
      <c r="I323" s="8" t="n">
        <v>26241</v>
      </c>
    </row>
    <row r="324">
      <c r="A324" s="5" t="n">
        <v>323</v>
      </c>
      <c r="B324" s="13" t="inlineStr">
        <is>
          <t>DELETE</t>
        </is>
      </c>
      <c r="C324" s="7" t="inlineStr">
        <is>
          <t>/api/its-equipment/clear-state/:stateKey</t>
        </is>
      </c>
      <c r="D324" s="5" t="inlineStr">
        <is>
          <t>its-equipment</t>
        </is>
      </c>
      <c r="E324" s="5" t="inlineStr">
        <is>
          <t>ITS / infrastructure</t>
        </is>
      </c>
      <c r="F324" s="5" t="inlineStr">
        <is>
          <t>Write - check handler</t>
        </is>
      </c>
      <c r="G324" s="5" t="inlineStr">
        <is>
          <t>Clear equipment data for a specific state</t>
        </is>
      </c>
      <c r="H324" s="5" t="inlineStr">
        <is>
          <t>backend_proxy_server.js</t>
        </is>
      </c>
      <c r="I324" s="5" t="n">
        <v>27007</v>
      </c>
    </row>
    <row r="325">
      <c r="A325" s="8" t="n">
        <v>324</v>
      </c>
      <c r="B325" s="12" t="inlineStr">
        <is>
          <t>GET</t>
        </is>
      </c>
      <c r="C325" s="10" t="inlineStr">
        <is>
          <t>/api/its-equipment/compliance-report</t>
        </is>
      </c>
      <c r="D325" s="8" t="inlineStr">
        <is>
          <t>its-equipment</t>
        </is>
      </c>
      <c r="E325" s="8" t="inlineStr">
        <is>
          <t>ITS / infrastructure</t>
        </is>
      </c>
      <c r="F325" s="8" t="inlineStr">
        <is>
          <t>Public (GET)</t>
        </is>
      </c>
      <c r="G325" s="8" t="inlineStr">
        <is>
          <t>ITS Equipment Compliance Gap Report (CSV Export)</t>
        </is>
      </c>
      <c r="H325" s="8" t="inlineStr">
        <is>
          <t>backend_proxy_server.js</t>
        </is>
      </c>
      <c r="I325" s="8" t="n">
        <v>26578</v>
      </c>
    </row>
    <row r="326">
      <c r="A326" s="5" t="n">
        <v>325</v>
      </c>
      <c r="B326" s="6" t="inlineStr">
        <is>
          <t>GET</t>
        </is>
      </c>
      <c r="C326" s="7" t="inlineStr">
        <is>
          <t>/api/its-equipment/export</t>
        </is>
      </c>
      <c r="D326" s="5" t="inlineStr">
        <is>
          <t>its-equipment</t>
        </is>
      </c>
      <c r="E326" s="5" t="inlineStr">
        <is>
          <t>ITS / infrastructure</t>
        </is>
      </c>
      <c r="F326" s="5" t="inlineStr">
        <is>
          <t>Public (GET)</t>
        </is>
      </c>
      <c r="G326" s="5" t="inlineStr">
        <is>
          <t>Export ARC-ITS compliant inventory</t>
        </is>
      </c>
      <c r="H326" s="5" t="inlineStr">
        <is>
          <t>backend_proxy_server.js</t>
        </is>
      </c>
      <c r="I326" s="5" t="n">
        <v>26409</v>
      </c>
    </row>
    <row r="327">
      <c r="A327" s="8" t="n">
        <v>326</v>
      </c>
      <c r="B327" s="12" t="inlineStr">
        <is>
          <t>GET</t>
        </is>
      </c>
      <c r="C327" s="10" t="inlineStr">
        <is>
          <t>/api/its-equipment/export/radit</t>
        </is>
      </c>
      <c r="D327" s="8" t="inlineStr">
        <is>
          <t>its-equipment</t>
        </is>
      </c>
      <c r="E327" s="8" t="inlineStr">
        <is>
          <t>ITS / infrastructure</t>
        </is>
      </c>
      <c r="F327" s="8" t="inlineStr">
        <is>
          <t>Public (GET)</t>
        </is>
      </c>
      <c r="G327" s="8" t="inlineStr">
        <is>
          <t>RAD-IT Export (Regional Architecture Development for ITS)</t>
        </is>
      </c>
      <c r="H327" s="8" t="inlineStr">
        <is>
          <t>backend_proxy_server.js</t>
        </is>
      </c>
      <c r="I327" s="8" t="n">
        <v>27225</v>
      </c>
    </row>
    <row r="328">
      <c r="A328" s="5" t="n">
        <v>327</v>
      </c>
      <c r="B328" s="11" t="inlineStr">
        <is>
          <t>POST</t>
        </is>
      </c>
      <c r="C328" s="7" t="inlineStr">
        <is>
          <t>/api/its-equipment/fix-il-to-ia</t>
        </is>
      </c>
      <c r="D328" s="5" t="inlineStr">
        <is>
          <t>its-equipment</t>
        </is>
      </c>
      <c r="E328" s="5" t="inlineStr">
        <is>
          <t>ITS / infrastructure</t>
        </is>
      </c>
      <c r="F328" s="5" t="inlineStr">
        <is>
          <t>Write - check handler</t>
        </is>
      </c>
      <c r="G328" s="5" t="inlineStr">
        <is>
          <t>Fix IL equipment to IA (for Iowa data that was auto-detected as IL) This only fixes records from Iowa DOT uploads (data_source contains Iowa file names)</t>
        </is>
      </c>
      <c r="H328" s="5" t="inlineStr">
        <is>
          <t>backend_proxy_server.js</t>
        </is>
      </c>
      <c r="I328" s="5" t="n">
        <v>26822</v>
      </c>
    </row>
    <row r="329">
      <c r="A329" s="8" t="n">
        <v>328</v>
      </c>
      <c r="B329" s="9" t="inlineStr">
        <is>
          <t>POST</t>
        </is>
      </c>
      <c r="C329" s="10" t="inlineStr">
        <is>
          <t>/api/its-equipment/fix-multi-state</t>
        </is>
      </c>
      <c r="D329" s="8" t="inlineStr">
        <is>
          <t>its-equipment</t>
        </is>
      </c>
      <c r="E329" s="8" t="inlineStr">
        <is>
          <t>ITS / infrastructure</t>
        </is>
      </c>
      <c r="F329" s="8" t="inlineStr">
        <is>
          <t>Write - check handler</t>
        </is>
      </c>
      <c r="G329" s="8" t="inlineStr">
        <is>
          <t>Auto-fix multi-state records by detecting actual state from coordinates</t>
        </is>
      </c>
      <c r="H329" s="8" t="inlineStr">
        <is>
          <t>backend_proxy_server.js</t>
        </is>
      </c>
      <c r="I329" s="8" t="n">
        <v>26750</v>
      </c>
    </row>
    <row r="330">
      <c r="A330" s="5" t="n">
        <v>329</v>
      </c>
      <c r="B330" s="6" t="inlineStr">
        <is>
          <t>GET</t>
        </is>
      </c>
      <c r="C330" s="7" t="inlineStr">
        <is>
          <t>/api/its-equipment/nearby</t>
        </is>
      </c>
      <c r="D330" s="5" t="inlineStr">
        <is>
          <t>its-equipment</t>
        </is>
      </c>
      <c r="E330" s="5" t="inlineStr">
        <is>
          <t>ITS / infrastructure</t>
        </is>
      </c>
      <c r="F330" s="5" t="inlineStr">
        <is>
          <t>Public (GET)</t>
        </is>
      </c>
      <c r="G330" s="5" t="inlineStr">
        <is>
          <t>Get ITS equipment near an event location (with JS distance calculation)</t>
        </is>
      </c>
      <c r="H330" s="5" t="inlineStr">
        <is>
          <t>backend_proxy_server.js</t>
        </is>
      </c>
      <c r="I330" s="5" t="n">
        <v>26110</v>
      </c>
    </row>
    <row r="331">
      <c r="A331" s="8" t="n">
        <v>330</v>
      </c>
      <c r="B331" s="9" t="inlineStr">
        <is>
          <t>POST</t>
        </is>
      </c>
      <c r="C331" s="10" t="inlineStr">
        <is>
          <t>/api/its-equipment/reassign-state</t>
        </is>
      </c>
      <c r="D331" s="8" t="inlineStr">
        <is>
          <t>its-equipment</t>
        </is>
      </c>
      <c r="E331" s="8" t="inlineStr">
        <is>
          <t>ITS / infrastructure</t>
        </is>
      </c>
      <c r="F331" s="8" t="inlineStr">
        <is>
          <t>Write - check handler</t>
        </is>
      </c>
      <c r="G331" s="8" t="inlineStr">
        <is>
          <t>Reassign equipment from one state to another</t>
        </is>
      </c>
      <c r="H331" s="8" t="inlineStr">
        <is>
          <t>backend_proxy_server.js</t>
        </is>
      </c>
      <c r="I331" s="8" t="n">
        <v>27147</v>
      </c>
    </row>
    <row r="332">
      <c r="A332" s="5" t="n">
        <v>331</v>
      </c>
      <c r="B332" s="11" t="inlineStr">
        <is>
          <t>POST</t>
        </is>
      </c>
      <c r="C332" s="7" t="inlineStr">
        <is>
          <t>/api/its-equipment/regenerate-iowa-ids</t>
        </is>
      </c>
      <c r="D332" s="5" t="inlineStr">
        <is>
          <t>its-equipment</t>
        </is>
      </c>
      <c r="E332" s="5" t="inlineStr">
        <is>
          <t>ITS / infrastructure</t>
        </is>
      </c>
      <c r="F332" s="5" t="inlineStr">
        <is>
          <t>Write - check handler</t>
        </is>
      </c>
      <c r="G332" s="5" t="inlineStr">
        <is>
          <t>Regenerate ARC-ITS IDs for Iowa equipment (fixes MULTI-STATE and IL in IDs)</t>
        </is>
      </c>
      <c r="H332" s="5" t="inlineStr">
        <is>
          <t>backend_proxy_server.js</t>
        </is>
      </c>
      <c r="I332" s="5" t="n">
        <v>26876</v>
      </c>
    </row>
    <row r="333">
      <c r="A333" s="8" t="n">
        <v>332</v>
      </c>
      <c r="B333" s="9" t="inlineStr">
        <is>
          <t>POST</t>
        </is>
      </c>
      <c r="C333" s="10" t="inlineStr">
        <is>
          <t>/api/its-equipment/remove-duplicates</t>
        </is>
      </c>
      <c r="D333" s="8" t="inlineStr">
        <is>
          <t>its-equipment</t>
        </is>
      </c>
      <c r="E333" s="8" t="inlineStr">
        <is>
          <t>ITS / infrastructure</t>
        </is>
      </c>
      <c r="F333" s="8" t="inlineStr">
        <is>
          <t>Write - check handler</t>
        </is>
      </c>
      <c r="G333" s="8" t="inlineStr">
        <is>
          <t>Remove duplicate equipment records (keep only one per unique location)</t>
        </is>
      </c>
      <c r="H333" s="8" t="inlineStr">
        <is>
          <t>backend_proxy_server.js</t>
        </is>
      </c>
      <c r="I333" s="8" t="n">
        <v>27050</v>
      </c>
    </row>
    <row r="334">
      <c r="A334" s="5" t="n">
        <v>333</v>
      </c>
      <c r="B334" s="6" t="inlineStr">
        <is>
          <t>GET</t>
        </is>
      </c>
      <c r="C334" s="7" t="inlineStr">
        <is>
          <t>/api/its-equipment/routes</t>
        </is>
      </c>
      <c r="D334" s="5" t="inlineStr">
        <is>
          <t>its-equipment</t>
        </is>
      </c>
      <c r="E334" s="5" t="inlineStr">
        <is>
          <t>ITS / infrastructure</t>
        </is>
      </c>
      <c r="F334" s="5" t="inlineStr">
        <is>
          <t>Public (GET)</t>
        </is>
      </c>
      <c r="G334" s="5" t="inlineStr">
        <is>
          <t>Get available routes for filtering</t>
        </is>
      </c>
      <c r="H334" s="5" t="inlineStr">
        <is>
          <t>backend_proxy_server.js</t>
        </is>
      </c>
      <c r="I334" s="5" t="n">
        <v>27584</v>
      </c>
    </row>
    <row r="335">
      <c r="A335" s="8" t="n">
        <v>334</v>
      </c>
      <c r="B335" s="12" t="inlineStr">
        <is>
          <t>GET</t>
        </is>
      </c>
      <c r="C335" s="10" t="inlineStr">
        <is>
          <t>/api/its-equipment/states</t>
        </is>
      </c>
      <c r="D335" s="8" t="inlineStr">
        <is>
          <t>its-equipment</t>
        </is>
      </c>
      <c r="E335" s="8" t="inlineStr">
        <is>
          <t>ITS / infrastructure</t>
        </is>
      </c>
      <c r="F335" s="8" t="inlineStr">
        <is>
          <t>Public (GET)</t>
        </is>
      </c>
      <c r="G335" s="8" t="inlineStr">
        <is>
          <t>Get states that have ITS equipment</t>
        </is>
      </c>
      <c r="H335" s="8" t="inlineStr">
        <is>
          <t>backend_proxy_server.js</t>
        </is>
      </c>
      <c r="I335" s="8" t="n">
        <v>27630</v>
      </c>
    </row>
    <row r="336">
      <c r="A336" s="5" t="n">
        <v>335</v>
      </c>
      <c r="B336" s="6" t="inlineStr">
        <is>
          <t>GET</t>
        </is>
      </c>
      <c r="C336" s="7" t="inlineStr">
        <is>
          <t>/api/its-equipment/summary</t>
        </is>
      </c>
      <c r="D336" s="5" t="inlineStr">
        <is>
          <t>its-equipment</t>
        </is>
      </c>
      <c r="E336" s="5" t="inlineStr">
        <is>
          <t>ITS / infrastructure</t>
        </is>
      </c>
      <c r="F336" s="5" t="inlineStr">
        <is>
          <t>Public (GET)</t>
        </is>
      </c>
      <c r="G336" s="5" t="inlineStr">
        <is>
          <t>Equipment summary by state</t>
        </is>
      </c>
      <c r="H336" s="5" t="inlineStr">
        <is>
          <t>backend_proxy_server.js</t>
        </is>
      </c>
      <c r="I336" s="5" t="n">
        <v>27573</v>
      </c>
    </row>
    <row r="337">
      <c r="A337" s="8" t="n">
        <v>336</v>
      </c>
      <c r="B337" s="9" t="inlineStr">
        <is>
          <t>POST</t>
        </is>
      </c>
      <c r="C337" s="10" t="inlineStr">
        <is>
          <t>/api/its-equipment/upload</t>
        </is>
      </c>
      <c r="D337" s="8" t="inlineStr">
        <is>
          <t>its-equipment</t>
        </is>
      </c>
      <c r="E337" s="8" t="inlineStr">
        <is>
          <t>ITS / infrastructure</t>
        </is>
      </c>
      <c r="F337" s="8" t="inlineStr">
        <is>
          <t>Write - check handler</t>
        </is>
      </c>
      <c r="G337" s="8" t="inlineStr">
        <is>
          <t>Upload GIS file with ITS equipment inventory</t>
        </is>
      </c>
      <c r="H337" s="8" t="inlineStr">
        <is>
          <t>backend_proxy_server.js</t>
        </is>
      </c>
      <c r="I337" s="8" t="n">
        <v>25643</v>
      </c>
    </row>
    <row r="338">
      <c r="A338" s="5" t="n">
        <v>337</v>
      </c>
      <c r="B338" s="6" t="inlineStr">
        <is>
          <t>GET</t>
        </is>
      </c>
      <c r="C338" s="7" t="inlineStr">
        <is>
          <t>/api/its-equipment/v2x-analysis</t>
        </is>
      </c>
      <c r="D338" s="5" t="inlineStr">
        <is>
          <t>its-equipment</t>
        </is>
      </c>
      <c r="E338" s="5" t="inlineStr">
        <is>
          <t>ITS / infrastructure</t>
        </is>
      </c>
      <c r="F338" s="5" t="inlineStr">
        <is>
          <t>Public (GET)</t>
        </is>
      </c>
      <c r="G338" s="5" t="inlineStr">
        <is>
          <t>V2X Deployment Analysis</t>
        </is>
      </c>
      <c r="H338" s="5" t="inlineStr">
        <is>
          <t>backend_proxy_server.js</t>
        </is>
      </c>
      <c r="I338" s="5" t="n">
        <v>26512</v>
      </c>
    </row>
    <row r="339">
      <c r="A339" s="8" t="n">
        <v>338</v>
      </c>
      <c r="B339" s="12" t="inlineStr">
        <is>
          <t>GET</t>
        </is>
      </c>
      <c r="C339" s="10" t="inlineStr">
        <is>
          <t>/api/its-equipment/verify-count</t>
        </is>
      </c>
      <c r="D339" s="8" t="inlineStr">
        <is>
          <t>its-equipment</t>
        </is>
      </c>
      <c r="E339" s="8" t="inlineStr">
        <is>
          <t>ITS / infrastructure</t>
        </is>
      </c>
      <c r="F339" s="8" t="inlineStr">
        <is>
          <t>Public (GET)</t>
        </is>
      </c>
      <c r="G339" s="8" t="inlineStr">
        <is>
          <t>Verify equipment count and check for duplicates</t>
        </is>
      </c>
      <c r="H339" s="8" t="inlineStr">
        <is>
          <t>backend_proxy_server.js</t>
        </is>
      </c>
      <c r="I339" s="8" t="n">
        <v>26943</v>
      </c>
    </row>
    <row r="340">
      <c r="A340" s="5" t="n">
        <v>339</v>
      </c>
      <c r="B340" s="6" t="inlineStr">
        <is>
          <t>GET</t>
        </is>
      </c>
      <c r="C340" s="7" t="inlineStr">
        <is>
          <t>/api/maasto-tpims</t>
        </is>
      </c>
      <c r="D340" s="5" t="inlineStr">
        <is>
          <t>maasto-tpims</t>
        </is>
      </c>
      <c r="E340" s="5" t="inlineStr">
        <is>
          <t>Truck parking</t>
        </is>
      </c>
      <c r="F340" s="5" t="inlineStr">
        <is>
          <t>Public (GET)</t>
        </is>
      </c>
      <c r="G340" s="5" t="inlineStr"/>
      <c r="H340" s="5" t="inlineStr">
        <is>
          <t>backend_proxy_server.js</t>
        </is>
      </c>
      <c r="I340" s="5" t="n">
        <v>36124</v>
      </c>
    </row>
    <row r="341">
      <c r="A341" s="8" t="n">
        <v>340</v>
      </c>
      <c r="B341" s="12" t="inlineStr">
        <is>
          <t>GET</t>
        </is>
      </c>
      <c r="C341" s="10" t="inlineStr">
        <is>
          <t>/api/major-events</t>
        </is>
      </c>
      <c r="D341" s="8" t="inlineStr">
        <is>
          <t>major-events</t>
        </is>
      </c>
      <c r="E341" s="8" t="inlineStr">
        <is>
          <t>Demand / events</t>
        </is>
      </c>
      <c r="F341" s="8" t="inlineStr">
        <is>
          <t>Public (GET)</t>
        </is>
      </c>
      <c r="G341" s="8" t="inlineStr"/>
      <c r="H341" s="8" t="inlineStr">
        <is>
          <t>backend_proxy_server.js</t>
        </is>
      </c>
      <c r="I341" s="8" t="n">
        <v>6188</v>
      </c>
    </row>
    <row r="342">
      <c r="A342" s="5" t="n">
        <v>341</v>
      </c>
      <c r="B342" s="6" t="inlineStr">
        <is>
          <t>GET</t>
        </is>
      </c>
      <c r="C342" s="7" t="inlineStr">
        <is>
          <t>/api/messages</t>
        </is>
      </c>
      <c r="D342" s="5" t="inlineStr">
        <is>
          <t>messages</t>
        </is>
      </c>
      <c r="E342" s="5" t="inlineStr">
        <is>
          <t>Collaboration</t>
        </is>
      </c>
      <c r="F342" s="5" t="inlineStr">
        <is>
          <t>Public (GET)</t>
        </is>
      </c>
      <c r="G342" s="5" t="inlineStr">
        <is>
          <t>Legacy message endpoints now proxy to event comments for backward compatibility</t>
        </is>
      </c>
      <c r="H342" s="5" t="inlineStr">
        <is>
          <t>backend_proxy_server.js</t>
        </is>
      </c>
      <c r="I342" s="5" t="n">
        <v>11241</v>
      </c>
    </row>
    <row r="343">
      <c r="A343" s="8" t="n">
        <v>342</v>
      </c>
      <c r="B343" s="9" t="inlineStr">
        <is>
          <t>POST</t>
        </is>
      </c>
      <c r="C343" s="10" t="inlineStr">
        <is>
          <t>/api/messages</t>
        </is>
      </c>
      <c r="D343" s="8" t="inlineStr">
        <is>
          <t>messages</t>
        </is>
      </c>
      <c r="E343" s="8" t="inlineStr">
        <is>
          <t>Collaboration</t>
        </is>
      </c>
      <c r="F343" s="8" t="inlineStr">
        <is>
          <t>Write - check handler</t>
        </is>
      </c>
      <c r="G343" s="8" t="inlineStr"/>
      <c r="H343" s="8" t="inlineStr">
        <is>
          <t>backend_proxy_server.js</t>
        </is>
      </c>
      <c r="I343" s="8" t="n">
        <v>11327</v>
      </c>
    </row>
    <row r="344">
      <c r="A344" s="5" t="n">
        <v>343</v>
      </c>
      <c r="B344" s="13" t="inlineStr">
        <is>
          <t>DELETE</t>
        </is>
      </c>
      <c r="C344" s="7" t="inlineStr">
        <is>
          <t>/api/messages/:id</t>
        </is>
      </c>
      <c r="D344" s="5" t="inlineStr">
        <is>
          <t>messages</t>
        </is>
      </c>
      <c r="E344" s="5" t="inlineStr">
        <is>
          <t>Collaboration</t>
        </is>
      </c>
      <c r="F344" s="5" t="inlineStr">
        <is>
          <t>Write - check handler</t>
        </is>
      </c>
      <c r="G344" s="5" t="inlineStr"/>
      <c r="H344" s="5" t="inlineStr">
        <is>
          <t>backend_proxy_server.js</t>
        </is>
      </c>
      <c r="I344" s="5" t="n">
        <v>11334</v>
      </c>
    </row>
    <row r="345">
      <c r="A345" s="8" t="n">
        <v>344</v>
      </c>
      <c r="B345" s="15" t="inlineStr">
        <is>
          <t>DELETE</t>
        </is>
      </c>
      <c r="C345" s="10" t="inlineStr">
        <is>
          <t>/api/messages/event/:eventId</t>
        </is>
      </c>
      <c r="D345" s="8" t="inlineStr">
        <is>
          <t>messages</t>
        </is>
      </c>
      <c r="E345" s="8" t="inlineStr">
        <is>
          <t>Collaboration</t>
        </is>
      </c>
      <c r="F345" s="8" t="inlineStr">
        <is>
          <t>Write - check handler</t>
        </is>
      </c>
      <c r="G345" s="8" t="inlineStr"/>
      <c r="H345" s="8" t="inlineStr">
        <is>
          <t>backend_proxy_server.js</t>
        </is>
      </c>
      <c r="I345" s="8" t="n">
        <v>11341</v>
      </c>
    </row>
    <row r="346">
      <c r="A346" s="5" t="n">
        <v>345</v>
      </c>
      <c r="B346" s="6" t="inlineStr">
        <is>
          <t>GET</t>
        </is>
      </c>
      <c r="C346" s="7" t="inlineStr">
        <is>
          <t>/api/messages/event/:eventId</t>
        </is>
      </c>
      <c r="D346" s="5" t="inlineStr">
        <is>
          <t>messages</t>
        </is>
      </c>
      <c r="E346" s="5" t="inlineStr">
        <is>
          <t>Collaboration</t>
        </is>
      </c>
      <c r="F346" s="5" t="inlineStr">
        <is>
          <t>Public (GET)</t>
        </is>
      </c>
      <c r="G346" s="5" t="inlineStr"/>
      <c r="H346" s="5" t="inlineStr">
        <is>
          <t>backend_proxy_server.js</t>
        </is>
      </c>
      <c r="I346" s="5" t="n">
        <v>11278</v>
      </c>
    </row>
    <row r="347">
      <c r="A347" s="8" t="n">
        <v>346</v>
      </c>
      <c r="B347" s="9" t="inlineStr">
        <is>
          <t>POST</t>
        </is>
      </c>
      <c r="C347" s="10" t="inlineStr">
        <is>
          <t>/api/ml/assess-quality</t>
        </is>
      </c>
      <c r="D347" s="8" t="inlineStr">
        <is>
          <t>ml</t>
        </is>
      </c>
      <c r="E347" s="8" t="inlineStr">
        <is>
          <t>Platform / AI</t>
        </is>
      </c>
      <c r="F347" s="8" t="inlineStr">
        <is>
          <t>Write - check handler</t>
        </is>
      </c>
      <c r="G347" s="8">
        <f>========= FEATURE #1: ML Data Quality Assessment ==========</f>
        <v/>
      </c>
      <c r="H347" s="8" t="inlineStr">
        <is>
          <t>ml-integrations.js</t>
        </is>
      </c>
      <c r="I347" s="8" t="n">
        <v>26</v>
      </c>
    </row>
    <row r="348">
      <c r="A348" s="5" t="n">
        <v>347</v>
      </c>
      <c r="B348" s="11" t="inlineStr">
        <is>
          <t>POST</t>
        </is>
      </c>
      <c r="C348" s="7" t="inlineStr">
        <is>
          <t>/api/ml/correlations</t>
        </is>
      </c>
      <c r="D348" s="5" t="inlineStr">
        <is>
          <t>ml</t>
        </is>
      </c>
      <c r="E348" s="5" t="inlineStr">
        <is>
          <t>Platform / AI</t>
        </is>
      </c>
      <c r="F348" s="5" t="inlineStr">
        <is>
          <t>Write - check handler</t>
        </is>
      </c>
      <c r="G348" s="5">
        <f>========= FEATURE #2: Cross-State Event Correlation ==========</f>
        <v/>
      </c>
      <c r="H348" s="5" t="inlineStr">
        <is>
          <t>ml-integrations.js</t>
        </is>
      </c>
      <c r="I348" s="5" t="n">
        <v>58</v>
      </c>
    </row>
    <row r="349">
      <c r="A349" s="8" t="n">
        <v>348</v>
      </c>
      <c r="B349" s="9" t="inlineStr">
        <is>
          <t>POST</t>
        </is>
      </c>
      <c r="C349" s="10" t="inlineStr">
        <is>
          <t>/api/ml/detect-anomalies-batch</t>
        </is>
      </c>
      <c r="D349" s="8" t="inlineStr">
        <is>
          <t>ml</t>
        </is>
      </c>
      <c r="E349" s="8" t="inlineStr">
        <is>
          <t>Platform / AI</t>
        </is>
      </c>
      <c r="F349" s="8" t="inlineStr">
        <is>
          <t>Write - check handler</t>
        </is>
      </c>
      <c r="G349" s="8" t="inlineStr">
        <is>
          <t>OPTIMIZED: Batch anomaly detection endpoint for performance</t>
        </is>
      </c>
      <c r="H349" s="8" t="inlineStr">
        <is>
          <t>ml-integrations.js</t>
        </is>
      </c>
      <c r="I349" s="8" t="n">
        <v>240</v>
      </c>
    </row>
    <row r="350">
      <c r="A350" s="5" t="n">
        <v>349</v>
      </c>
      <c r="B350" s="11" t="inlineStr">
        <is>
          <t>POST</t>
        </is>
      </c>
      <c r="C350" s="7" t="inlineStr">
        <is>
          <t>/api/ml/detect-anomaly</t>
        </is>
      </c>
      <c r="D350" s="5" t="inlineStr">
        <is>
          <t>ml</t>
        </is>
      </c>
      <c r="E350" s="5" t="inlineStr">
        <is>
          <t>Platform / AI</t>
        </is>
      </c>
      <c r="F350" s="5" t="inlineStr">
        <is>
          <t>Write - check handler</t>
        </is>
      </c>
      <c r="G350" s="5">
        <f>========= FEATURE #5: Anomaly Detection with Self-Healing ==========</f>
        <v/>
      </c>
      <c r="H350" s="5" t="inlineStr">
        <is>
          <t>ml-integrations.js</t>
        </is>
      </c>
      <c r="I350" s="5" t="n">
        <v>203</v>
      </c>
    </row>
    <row r="351">
      <c r="A351" s="8" t="n">
        <v>350</v>
      </c>
      <c r="B351" s="9" t="inlineStr">
        <is>
          <t>POST</t>
        </is>
      </c>
      <c r="C351" s="10" t="inlineStr">
        <is>
          <t>/api/ml/extract-from-text</t>
        </is>
      </c>
      <c r="D351" s="8" t="inlineStr">
        <is>
          <t>ml</t>
        </is>
      </c>
      <c r="E351" s="8" t="inlineStr">
        <is>
          <t>Platform / AI</t>
        </is>
      </c>
      <c r="F351" s="8" t="inlineStr">
        <is>
          <t>Write - check handler</t>
        </is>
      </c>
      <c r="G351" s="8">
        <f>========= FEATURE #8: NLP Event Extraction ==========</f>
        <v/>
      </c>
      <c r="H351" s="8" t="inlineStr">
        <is>
          <t>ml-integrations.js</t>
        </is>
      </c>
      <c r="I351" s="8" t="n">
        <v>362</v>
      </c>
    </row>
    <row r="352">
      <c r="A352" s="5" t="n">
        <v>351</v>
      </c>
      <c r="B352" s="11" t="inlineStr">
        <is>
          <t>POST</t>
        </is>
      </c>
      <c r="C352" s="7" t="inlineStr">
        <is>
          <t>/api/ml/federated/init</t>
        </is>
      </c>
      <c r="D352" s="5" t="inlineStr">
        <is>
          <t>ml</t>
        </is>
      </c>
      <c r="E352" s="5" t="inlineStr">
        <is>
          <t>Platform / AI</t>
        </is>
      </c>
      <c r="F352" s="5" t="inlineStr">
        <is>
          <t>requireAdmin</t>
        </is>
      </c>
      <c r="G352" s="5">
        <f>========= FEATURE #7: Federated Learning ==========</f>
        <v/>
      </c>
      <c r="H352" s="5" t="inlineStr">
        <is>
          <t>ml-integrations.js</t>
        </is>
      </c>
      <c r="I352" s="5" t="n">
        <v>333</v>
      </c>
    </row>
    <row r="353">
      <c r="A353" s="8" t="n">
        <v>352</v>
      </c>
      <c r="B353" s="12" t="inlineStr">
        <is>
          <t>GET</t>
        </is>
      </c>
      <c r="C353" s="10" t="inlineStr">
        <is>
          <t>/api/ml/health</t>
        </is>
      </c>
      <c r="D353" s="8" t="inlineStr">
        <is>
          <t>ml</t>
        </is>
      </c>
      <c r="E353" s="8" t="inlineStr">
        <is>
          <t>Platform / AI</t>
        </is>
      </c>
      <c r="F353" s="8" t="inlineStr">
        <is>
          <t>Public (GET)</t>
        </is>
      </c>
      <c r="G353" s="8">
        <f>========= Health Check ==========</f>
        <v/>
      </c>
      <c r="H353" s="8" t="inlineStr">
        <is>
          <t>ml-integrations.js</t>
        </is>
      </c>
      <c r="I353" s="8" t="n">
        <v>492</v>
      </c>
    </row>
    <row r="354">
      <c r="A354" s="5" t="n">
        <v>353</v>
      </c>
      <c r="B354" s="11" t="inlineStr">
        <is>
          <t>POST</t>
        </is>
      </c>
      <c r="C354" s="7" t="inlineStr">
        <is>
          <t>/api/ml/learn-schema</t>
        </is>
      </c>
      <c r="D354" s="5" t="inlineStr">
        <is>
          <t>ml</t>
        </is>
      </c>
      <c r="E354" s="5" t="inlineStr">
        <is>
          <t>Platform / AI</t>
        </is>
      </c>
      <c r="F354" s="5" t="inlineStr">
        <is>
          <t>requireAdmin</t>
        </is>
      </c>
      <c r="G354" s="5">
        <f>========= FEATURE #3: Automatic Schema Learning ==========</f>
        <v/>
      </c>
      <c r="H354" s="5" t="inlineStr">
        <is>
          <t>ml-integrations.js</t>
        </is>
      </c>
      <c r="I354" s="5" t="n">
        <v>98</v>
      </c>
    </row>
    <row r="355">
      <c r="A355" s="8" t="n">
        <v>354</v>
      </c>
      <c r="B355" s="9" t="inlineStr">
        <is>
          <t>POST</t>
        </is>
      </c>
      <c r="C355" s="10" t="inlineStr">
        <is>
          <t>/api/ml/optimize-route</t>
        </is>
      </c>
      <c r="D355" s="8" t="inlineStr">
        <is>
          <t>ml</t>
        </is>
      </c>
      <c r="E355" s="8" t="inlineStr">
        <is>
          <t>Platform / AI</t>
        </is>
      </c>
      <c r="F355" s="8" t="inlineStr">
        <is>
          <t>Write - check handler</t>
        </is>
      </c>
      <c r="G355" s="8">
        <f>========= FEATURE #6: Multi-Objective Route Optimization ==========</f>
        <v/>
      </c>
      <c r="H355" s="8" t="inlineStr">
        <is>
          <t>ml-integrations.js</t>
        </is>
      </c>
      <c r="I355" s="8" t="n">
        <v>299</v>
      </c>
    </row>
    <row r="356">
      <c r="A356" s="5" t="n">
        <v>355</v>
      </c>
      <c r="B356" s="11" t="inlineStr">
        <is>
          <t>POST</t>
        </is>
      </c>
      <c r="C356" s="7" t="inlineStr">
        <is>
          <t>/api/ml/predict-incidents</t>
        </is>
      </c>
      <c r="D356" s="5" t="inlineStr">
        <is>
          <t>ml</t>
        </is>
      </c>
      <c r="E356" s="5" t="inlineStr">
        <is>
          <t>Platform / AI</t>
        </is>
      </c>
      <c r="F356" s="5" t="inlineStr">
        <is>
          <t>Write - check handler</t>
        </is>
      </c>
      <c r="G356" s="5">
        <f>========= FEATURE #10: Predictive Incident Detection ==========</f>
        <v/>
      </c>
      <c r="H356" s="5" t="inlineStr">
        <is>
          <t>ml-integrations.js</t>
        </is>
      </c>
      <c r="I356" s="5" t="n">
        <v>460</v>
      </c>
    </row>
    <row r="357">
      <c r="A357" s="8" t="n">
        <v>356</v>
      </c>
      <c r="B357" s="9" t="inlineStr">
        <is>
          <t>POST</t>
        </is>
      </c>
      <c r="C357" s="10" t="inlineStr">
        <is>
          <t>/api/nasco-corridor-ai-analysis</t>
        </is>
      </c>
      <c r="D357" s="8" t="inlineStr">
        <is>
          <t>nasco-corridor-ai-analysis</t>
        </is>
      </c>
      <c r="E357" s="8" t="inlineStr">
        <is>
          <t>Analytics &amp; prediction</t>
        </is>
      </c>
      <c r="F357" s="8" t="inlineStr">
        <is>
          <t>Write - check handler</t>
        </is>
      </c>
      <c r="G357" s="8" t="inlineStr">
        <is>
          <t>AI-powered analysis of NASCO corridor regulations for harmonization</t>
        </is>
      </c>
      <c r="H357" s="8" t="inlineStr">
        <is>
          <t>backend_proxy_server.js</t>
        </is>
      </c>
      <c r="I357" s="8" t="n">
        <v>19758</v>
      </c>
    </row>
    <row r="358">
      <c r="A358" s="5" t="n">
        <v>357</v>
      </c>
      <c r="B358" s="6" t="inlineStr">
        <is>
          <t>GET</t>
        </is>
      </c>
      <c r="C358" s="7" t="inlineStr">
        <is>
          <t>/api/nasco-corridor-summary</t>
        </is>
      </c>
      <c r="D358" s="5" t="inlineStr">
        <is>
          <t>nasco-corridor-summary</t>
        </is>
      </c>
      <c r="E358" s="5" t="inlineStr">
        <is>
          <t>Analytics &amp; prediction</t>
        </is>
      </c>
      <c r="F358" s="5" t="inlineStr">
        <is>
          <t>Public (GET)</t>
        </is>
      </c>
      <c r="G358" s="5" t="inlineStr">
        <is>
          <t>Get NASCO corridor summary</t>
        </is>
      </c>
      <c r="H358" s="5" t="inlineStr">
        <is>
          <t>backend_proxy_server.js</t>
        </is>
      </c>
      <c r="I358" s="5" t="n">
        <v>19698</v>
      </c>
    </row>
    <row r="359">
      <c r="A359" s="8" t="n">
        <v>358</v>
      </c>
      <c r="B359" s="9" t="inlineStr">
        <is>
          <t>POST</t>
        </is>
      </c>
      <c r="C359" s="10" t="inlineStr">
        <is>
          <t>/api/nbi/enrich</t>
        </is>
      </c>
      <c r="D359" s="8" t="inlineStr">
        <is>
          <t>nbi</t>
        </is>
      </c>
      <c r="E359" s="8" t="inlineStr">
        <is>
          <t>Freight &amp; clearance</t>
        </is>
      </c>
      <c r="F359" s="8" t="inlineStr">
        <is>
          <t>Write - check handler</t>
        </is>
      </c>
      <c r="G359" s="8" t="inlineStr">
        <is>
          <t xml:space="preserve">NBI bridge-clearance enrichment for DTCD: annotate a work zone with the overhead structures that restrict it (the ones its route passes UNDER) — clearance, over/under, inspection date. DTCD ingest calls this per zone so the served /cwz feed carries clearance intelligence even for zones whose source </t>
        </is>
      </c>
      <c r="H359" s="8" t="inlineStr">
        <is>
          <t>backend_proxy_server.js</t>
        </is>
      </c>
      <c r="I359" s="8" t="n">
        <v>5261</v>
      </c>
    </row>
    <row r="360">
      <c r="A360" s="5" t="n">
        <v>359</v>
      </c>
      <c r="B360" s="6" t="inlineStr">
        <is>
          <t>GET</t>
        </is>
      </c>
      <c r="C360" s="7" t="inlineStr">
        <is>
          <t>/api/network/connections/:deviceId</t>
        </is>
      </c>
      <c r="D360" s="5" t="inlineStr">
        <is>
          <t>network</t>
        </is>
      </c>
      <c r="E360" s="5" t="inlineStr">
        <is>
          <t>ITS / infrastructure</t>
        </is>
      </c>
      <c r="F360" s="5" t="inlineStr">
        <is>
          <t>Public (GET)</t>
        </is>
      </c>
      <c r="G360" s="5" t="inlineStr">
        <is>
          <t>Get connections for specific device</t>
        </is>
      </c>
      <c r="H360" s="5" t="inlineStr">
        <is>
          <t>backend_proxy_server.js</t>
        </is>
      </c>
      <c r="I360" s="5" t="n">
        <v>26052</v>
      </c>
    </row>
    <row r="361">
      <c r="A361" s="8" t="n">
        <v>360</v>
      </c>
      <c r="B361" s="12" t="inlineStr">
        <is>
          <t>GET</t>
        </is>
      </c>
      <c r="C361" s="10" t="inlineStr">
        <is>
          <t>/api/network/topology</t>
        </is>
      </c>
      <c r="D361" s="8" t="inlineStr">
        <is>
          <t>network</t>
        </is>
      </c>
      <c r="E361" s="8" t="inlineStr">
        <is>
          <t>ITS / infrastructure</t>
        </is>
      </c>
      <c r="F361" s="8" t="inlineStr">
        <is>
          <t>Public (GET)</t>
        </is>
      </c>
      <c r="G361" s="8" t="inlineStr">
        <is>
          <t>Get network topology (connections between devices)</t>
        </is>
      </c>
      <c r="H361" s="8" t="inlineStr">
        <is>
          <t>backend_proxy_server.js</t>
        </is>
      </c>
      <c r="I361" s="8" t="n">
        <v>26035</v>
      </c>
    </row>
    <row r="362">
      <c r="A362" s="5" t="n">
        <v>361</v>
      </c>
      <c r="B362" s="6" t="inlineStr">
        <is>
          <t>GET</t>
        </is>
      </c>
      <c r="C362" s="7" t="inlineStr">
        <is>
          <t>/api/osrm/route</t>
        </is>
      </c>
      <c r="D362" s="5" t="inlineStr">
        <is>
          <t>osrm</t>
        </is>
      </c>
      <c r="E362" s="5" t="inlineStr">
        <is>
          <t>Routing</t>
        </is>
      </c>
      <c r="F362" s="5" t="inlineStr">
        <is>
          <t>Public (GET)</t>
        </is>
      </c>
      <c r="G362" s="5" t="inlineStr">
        <is>
          <t>inline map preview to replace the straight-line A→B with the actual road-following polyline (the same geometry quality the events get during normalization). Returns { coordinates: [[lng,lat], ...] } in GeoJSON order. Falls back to a straight-line two-point response if OSRM is unreachable or rate-lim</t>
        </is>
      </c>
      <c r="H362" s="5" t="inlineStr">
        <is>
          <t>backend_proxy_server.js</t>
        </is>
      </c>
      <c r="I362" s="5" t="n">
        <v>2128</v>
      </c>
    </row>
    <row r="363">
      <c r="A363" s="8" t="n">
        <v>362</v>
      </c>
      <c r="B363" s="12" t="inlineStr">
        <is>
          <t>GET</t>
        </is>
      </c>
      <c r="C363" s="10" t="inlineStr">
        <is>
          <t>/api/parking/analyze/:facilityId</t>
        </is>
      </c>
      <c r="D363" s="8" t="inlineStr">
        <is>
          <t>parking</t>
        </is>
      </c>
      <c r="E363" s="8" t="inlineStr">
        <is>
          <t>Truck parking</t>
        </is>
      </c>
      <c r="F363" s="8" t="inlineStr">
        <is>
          <t>Public (GET)</t>
        </is>
      </c>
      <c r="G363" s="8" t="inlineStr">
        <is>
          <t>Analyze utilization patterns for a facility</t>
        </is>
      </c>
      <c r="H363" s="8" t="inlineStr">
        <is>
          <t>backend_proxy_server.js</t>
        </is>
      </c>
      <c r="I363" s="8" t="n">
        <v>36297</v>
      </c>
    </row>
    <row r="364">
      <c r="A364" s="5" t="n">
        <v>363</v>
      </c>
      <c r="B364" s="6" t="inlineStr">
        <is>
          <t>GET</t>
        </is>
      </c>
      <c r="C364" s="7" t="inlineStr">
        <is>
          <t>/api/parking/availability</t>
        </is>
      </c>
      <c r="D364" s="5" t="inlineStr">
        <is>
          <t>parking</t>
        </is>
      </c>
      <c r="E364" s="5" t="inlineStr">
        <is>
          <t>Truck parking</t>
        </is>
      </c>
      <c r="F364" s="5" t="inlineStr">
        <is>
          <t>Public (GET)</t>
        </is>
      </c>
      <c r="G364" s="5" t="inlineStr">
        <is>
          <t>Get latest parking availability for all facilities</t>
        </is>
      </c>
      <c r="H364" s="5" t="inlineStr">
        <is>
          <t>backend_proxy_server.js</t>
        </is>
      </c>
      <c r="I364" s="5" t="n">
        <v>36140</v>
      </c>
    </row>
    <row r="365">
      <c r="A365" s="8" t="n">
        <v>364</v>
      </c>
      <c r="B365" s="12" t="inlineStr">
        <is>
          <t>GET</t>
        </is>
      </c>
      <c r="C365" s="10" t="inlineStr">
        <is>
          <t>/api/parking/availability/:facilityId</t>
        </is>
      </c>
      <c r="D365" s="8" t="inlineStr">
        <is>
          <t>parking</t>
        </is>
      </c>
      <c r="E365" s="8" t="inlineStr">
        <is>
          <t>Truck parking</t>
        </is>
      </c>
      <c r="F365" s="8" t="inlineStr">
        <is>
          <t>Public (GET)</t>
        </is>
      </c>
      <c r="G365" s="8" t="inlineStr">
        <is>
          <t>Get parking availability for a specific facility</t>
        </is>
      </c>
      <c r="H365" s="8" t="inlineStr">
        <is>
          <t>backend_proxy_server.js</t>
        </is>
      </c>
      <c r="I365" s="8" t="n">
        <v>36151</v>
      </c>
    </row>
    <row r="366">
      <c r="A366" s="5" t="n">
        <v>365</v>
      </c>
      <c r="B366" s="11" t="inlineStr">
        <is>
          <t>POST</t>
        </is>
      </c>
      <c r="C366" s="7" t="inlineStr">
        <is>
          <t>/api/parking/calibrate</t>
        </is>
      </c>
      <c r="D366" s="5" t="inlineStr">
        <is>
          <t>parking</t>
        </is>
      </c>
      <c r="E366" s="5" t="inlineStr">
        <is>
          <t>Truck parking</t>
        </is>
      </c>
      <c r="F366" s="5" t="inlineStr">
        <is>
          <t>requireAdmin</t>
        </is>
      </c>
      <c r="G366" s="5" t="inlineStr">
        <is>
          <t>Run calibration (admin-only, on-demand to conserve API budget)</t>
        </is>
      </c>
      <c r="H366" s="5" t="inlineStr">
        <is>
          <t>backend_proxy_server.js</t>
        </is>
      </c>
      <c r="I366" s="5" t="n">
        <v>19204</v>
      </c>
    </row>
    <row r="367">
      <c r="A367" s="8" t="n">
        <v>366</v>
      </c>
      <c r="B367" s="12" t="inlineStr">
        <is>
          <t>GET</t>
        </is>
      </c>
      <c r="C367" s="10" t="inlineStr">
        <is>
          <t>/api/parking/calibration/status</t>
        </is>
      </c>
      <c r="D367" s="8" t="inlineStr">
        <is>
          <t>parking</t>
        </is>
      </c>
      <c r="E367" s="8" t="inlineStr">
        <is>
          <t>Truck parking</t>
        </is>
      </c>
      <c r="F367" s="8" t="inlineStr">
        <is>
          <t>Public (GET)</t>
        </is>
      </c>
      <c r="G367" s="8" t="inlineStr">
        <is>
          <t>Get calibration status and budget tracking</t>
        </is>
      </c>
      <c r="H367" s="8" t="inlineStr">
        <is>
          <t>backend_proxy_server.js</t>
        </is>
      </c>
      <c r="I367" s="8" t="n">
        <v>19215</v>
      </c>
    </row>
    <row r="368">
      <c r="A368" s="5" t="n">
        <v>367</v>
      </c>
      <c r="B368" s="6" t="inlineStr">
        <is>
          <t>GET</t>
        </is>
      </c>
      <c r="C368" s="7" t="inlineStr">
        <is>
          <t>/api/parking/calibration/weights</t>
        </is>
      </c>
      <c r="D368" s="5" t="inlineStr">
        <is>
          <t>parking</t>
        </is>
      </c>
      <c r="E368" s="5" t="inlineStr">
        <is>
          <t>Truck parking</t>
        </is>
      </c>
      <c r="F368" s="5" t="inlineStr">
        <is>
          <t>Public (GET)</t>
        </is>
      </c>
      <c r="G368" s="5" t="inlineStr">
        <is>
          <t>Get current calibration weights</t>
        </is>
      </c>
      <c r="H368" s="5" t="inlineStr">
        <is>
          <t>backend_proxy_server.js</t>
        </is>
      </c>
      <c r="I368" s="5" t="n">
        <v>19220</v>
      </c>
    </row>
    <row r="369">
      <c r="A369" s="8" t="n">
        <v>368</v>
      </c>
      <c r="B369" s="12" t="inlineStr">
        <is>
          <t>GET</t>
        </is>
      </c>
      <c r="C369" s="10" t="inlineStr">
        <is>
          <t>/api/parking/closure-impact</t>
        </is>
      </c>
      <c r="D369" s="8" t="inlineStr">
        <is>
          <t>parking</t>
        </is>
      </c>
      <c r="E369" s="8" t="inlineStr">
        <is>
          <t>Truck parking</t>
        </is>
      </c>
      <c r="F369" s="8" t="inlineStr">
        <is>
          <t>Public (GET)</t>
        </is>
      </c>
      <c r="G369" s="8" t="inlineStr"/>
      <c r="H369" s="8" t="inlineStr">
        <is>
          <t>backend_proxy_server.js</t>
        </is>
      </c>
      <c r="I369" s="8" t="n">
        <v>35998</v>
      </c>
    </row>
    <row r="370">
      <c r="A370" s="5" t="n">
        <v>369</v>
      </c>
      <c r="B370" s="6" t="inlineStr">
        <is>
          <t>GET</t>
        </is>
      </c>
      <c r="C370" s="7" t="inlineStr">
        <is>
          <t>/api/parking/facilities</t>
        </is>
      </c>
      <c r="D370" s="5" t="inlineStr">
        <is>
          <t>parking</t>
        </is>
      </c>
      <c r="E370" s="5" t="inlineStr">
        <is>
          <t>Truck parking</t>
        </is>
      </c>
      <c r="F370" s="5" t="inlineStr">
        <is>
          <t>Public (GET)</t>
        </is>
      </c>
      <c r="G370" s="5" t="inlineStr">
        <is>
          <t>Get all parking facilities</t>
        </is>
      </c>
      <c r="H370" s="5" t="inlineStr">
        <is>
          <t>backend_proxy_server.js</t>
        </is>
      </c>
      <c r="I370" s="5" t="n">
        <v>35981</v>
      </c>
    </row>
    <row r="371">
      <c r="A371" s="8" t="n">
        <v>370</v>
      </c>
      <c r="B371" s="12" t="inlineStr">
        <is>
          <t>GET</t>
        </is>
      </c>
      <c r="C371" s="10" t="inlineStr">
        <is>
          <t>/api/parking/ground-truth</t>
        </is>
      </c>
      <c r="D371" s="8" t="inlineStr">
        <is>
          <t>parking</t>
        </is>
      </c>
      <c r="E371" s="8" t="inlineStr">
        <is>
          <t>Truck parking</t>
        </is>
      </c>
      <c r="F371" s="8" t="inlineStr">
        <is>
          <t>Public (GET)</t>
        </is>
      </c>
      <c r="G371" s="8" t="inlineStr">
        <is>
          <t>Ground-truthing endpoint - Get facilities with camera feeds for validation</t>
        </is>
      </c>
      <c r="H371" s="8" t="inlineStr">
        <is>
          <t>backend_proxy_server.js</t>
        </is>
      </c>
      <c r="I371" s="8" t="n">
        <v>36557</v>
      </c>
    </row>
    <row r="372">
      <c r="A372" s="5" t="n">
        <v>371</v>
      </c>
      <c r="B372" s="6" t="inlineStr">
        <is>
          <t>GET</t>
        </is>
      </c>
      <c r="C372" s="7" t="inlineStr">
        <is>
          <t>/api/parking/ground-truth/accuracy</t>
        </is>
      </c>
      <c r="D372" s="5" t="inlineStr">
        <is>
          <t>parking</t>
        </is>
      </c>
      <c r="E372" s="5" t="inlineStr">
        <is>
          <t>Truck parking</t>
        </is>
      </c>
      <c r="F372" s="5" t="inlineStr">
        <is>
          <t>Public (GET)</t>
        </is>
      </c>
      <c r="G372" s="5" t="inlineStr">
        <is>
          <t>Get accuracy metrics from ground truth observations</t>
        </is>
      </c>
      <c r="H372" s="5" t="inlineStr">
        <is>
          <t>backend_proxy_server.js</t>
        </is>
      </c>
      <c r="I372" s="5" t="n">
        <v>37317</v>
      </c>
    </row>
    <row r="373">
      <c r="A373" s="8" t="n">
        <v>372</v>
      </c>
      <c r="B373" s="9" t="inlineStr">
        <is>
          <t>POST</t>
        </is>
      </c>
      <c r="C373" s="10" t="inlineStr">
        <is>
          <t>/api/parking/ground-truth/ai-count</t>
        </is>
      </c>
      <c r="D373" s="8" t="inlineStr">
        <is>
          <t>parking</t>
        </is>
      </c>
      <c r="E373" s="8" t="inlineStr">
        <is>
          <t>Truck parking</t>
        </is>
      </c>
      <c r="F373" s="8" t="inlineStr">
        <is>
          <t>requireAdmin</t>
        </is>
      </c>
      <c r="G373" s="8" t="inlineStr">
        <is>
          <t>AI-powered truck counting using OpenAI Vision API</t>
        </is>
      </c>
      <c r="H373" s="8" t="inlineStr">
        <is>
          <t>backend_proxy_server.js</t>
        </is>
      </c>
      <c r="I373" s="8" t="n">
        <v>36760</v>
      </c>
    </row>
    <row r="374">
      <c r="A374" s="5" t="n">
        <v>373</v>
      </c>
      <c r="B374" s="11" t="inlineStr">
        <is>
          <t>POST</t>
        </is>
      </c>
      <c r="C374" s="7" t="inlineStr">
        <is>
          <t>/api/parking/ground-truth/ai-count-consensus</t>
        </is>
      </c>
      <c r="D374" s="5" t="inlineStr">
        <is>
          <t>parking</t>
        </is>
      </c>
      <c r="E374" s="5" t="inlineStr">
        <is>
          <t>Truck parking</t>
        </is>
      </c>
      <c r="F374" s="5" t="inlineStr">
        <is>
          <t>requireAdmin</t>
        </is>
      </c>
      <c r="G374" s="5" t="inlineStr">
        <is>
          <t>Multi-camera consensus AI counting with overlap detection</t>
        </is>
      </c>
      <c r="H374" s="5" t="inlineStr">
        <is>
          <t>backend_proxy_server.js</t>
        </is>
      </c>
      <c r="I374" s="5" t="n">
        <v>37015</v>
      </c>
    </row>
    <row r="375">
      <c r="A375" s="8" t="n">
        <v>374</v>
      </c>
      <c r="B375" s="9" t="inlineStr">
        <is>
          <t>POST</t>
        </is>
      </c>
      <c r="C375" s="10" t="inlineStr">
        <is>
          <t>/api/parking/ground-truth/observations</t>
        </is>
      </c>
      <c r="D375" s="8" t="inlineStr">
        <is>
          <t>parking</t>
        </is>
      </c>
      <c r="E375" s="8" t="inlineStr">
        <is>
          <t>Truck parking</t>
        </is>
      </c>
      <c r="F375" s="8" t="inlineStr">
        <is>
          <t>Write - check handler</t>
        </is>
      </c>
      <c r="G375" s="8" t="inlineStr">
        <is>
          <t>Save ground-truth observation from user</t>
        </is>
      </c>
      <c r="H375" s="8" t="inlineStr">
        <is>
          <t>backend_proxy_server.js</t>
        </is>
      </c>
      <c r="I375" s="8" t="n">
        <v>36687</v>
      </c>
    </row>
    <row r="376">
      <c r="A376" s="5" t="n">
        <v>375</v>
      </c>
      <c r="B376" s="11" t="inlineStr">
        <is>
          <t>POST</t>
        </is>
      </c>
      <c r="C376" s="7" t="inlineStr">
        <is>
          <t>/api/parking/ground-truth/retrain</t>
        </is>
      </c>
      <c r="D376" s="5" t="inlineStr">
        <is>
          <t>parking</t>
        </is>
      </c>
      <c r="E376" s="5" t="inlineStr">
        <is>
          <t>Truck parking</t>
        </is>
      </c>
      <c r="F376" s="5" t="inlineStr">
        <is>
          <t>Write - check handler</t>
        </is>
      </c>
      <c r="G376" s="5" t="inlineStr">
        <is>
          <t>Retrain model using ground truth observations</t>
        </is>
      </c>
      <c r="H376" s="5" t="inlineStr">
        <is>
          <t>backend_proxy_server.js</t>
        </is>
      </c>
      <c r="I376" s="5" t="n">
        <v>37429</v>
      </c>
    </row>
    <row r="377">
      <c r="A377" s="8" t="n">
        <v>376</v>
      </c>
      <c r="B377" s="12" t="inlineStr">
        <is>
          <t>GET</t>
        </is>
      </c>
      <c r="C377" s="10" t="inlineStr">
        <is>
          <t>/api/parking/historical/diagnose</t>
        </is>
      </c>
      <c r="D377" s="8" t="inlineStr">
        <is>
          <t>parking</t>
        </is>
      </c>
      <c r="E377" s="8" t="inlineStr">
        <is>
          <t>Truck parking</t>
        </is>
      </c>
      <c r="F377" s="8" t="inlineStr">
        <is>
          <t>Public (GET)</t>
        </is>
      </c>
      <c r="G377" s="8" t="inlineStr">
        <is>
          <t>Diagnostic endpoint to check JSON file status</t>
        </is>
      </c>
      <c r="H377" s="8" t="inlineStr">
        <is>
          <t>backend_proxy_server.js</t>
        </is>
      </c>
      <c r="I377" s="8" t="n">
        <v>37586</v>
      </c>
    </row>
    <row r="378">
      <c r="A378" s="5" t="n">
        <v>377</v>
      </c>
      <c r="B378" s="11" t="inlineStr">
        <is>
          <t>POST</t>
        </is>
      </c>
      <c r="C378" s="7" t="inlineStr">
        <is>
          <t>/api/parking/historical/fix-volume</t>
        </is>
      </c>
      <c r="D378" s="5" t="inlineStr">
        <is>
          <t>parking</t>
        </is>
      </c>
      <c r="E378" s="5" t="inlineStr">
        <is>
          <t>Truck parking</t>
        </is>
      </c>
      <c r="F378" s="5" t="inlineStr">
        <is>
          <t>Write - check handler</t>
        </is>
      </c>
      <c r="G378" s="5" t="inlineStr">
        <is>
          <t>Fix stale parking data on Railway persistent volume</t>
        </is>
      </c>
      <c r="H378" s="5" t="inlineStr">
        <is>
          <t>backend_proxy_server.js</t>
        </is>
      </c>
      <c r="I378" s="5" t="n">
        <v>37623</v>
      </c>
    </row>
    <row r="379">
      <c r="A379" s="8" t="n">
        <v>378</v>
      </c>
      <c r="B379" s="9" t="inlineStr">
        <is>
          <t>POST</t>
        </is>
      </c>
      <c r="C379" s="10" t="inlineStr">
        <is>
          <t>/api/parking/historical/migrate</t>
        </is>
      </c>
      <c r="D379" s="8" t="inlineStr">
        <is>
          <t>parking</t>
        </is>
      </c>
      <c r="E379" s="8" t="inlineStr">
        <is>
          <t>Truck parking</t>
        </is>
      </c>
      <c r="F379" s="8" t="inlineStr">
        <is>
          <t>Write - check handler</t>
        </is>
      </c>
      <c r="G379" s="8" t="inlineStr">
        <is>
          <t>Migrate parking patterns from JSON to database (one-time setup)</t>
        </is>
      </c>
      <c r="H379" s="8" t="inlineStr">
        <is>
          <t>backend_proxy_server.js</t>
        </is>
      </c>
      <c r="I379" s="8" t="n">
        <v>37668</v>
      </c>
    </row>
    <row r="380">
      <c r="A380" s="5" t="n">
        <v>379</v>
      </c>
      <c r="B380" s="6" t="inlineStr">
        <is>
          <t>GET</t>
        </is>
      </c>
      <c r="C380" s="7" t="inlineStr">
        <is>
          <t>/api/parking/historical/predict-all</t>
        </is>
      </c>
      <c r="D380" s="5" t="inlineStr">
        <is>
          <t>parking</t>
        </is>
      </c>
      <c r="E380" s="5" t="inlineStr">
        <is>
          <t>Truck parking</t>
        </is>
      </c>
      <c r="F380" s="5" t="inlineStr">
        <is>
          <t>Public (GET)</t>
        </is>
      </c>
      <c r="G380" s="5" t="inlineStr">
        <is>
          <t>Get predictions for all facilities using historical patterns Automatically applies corridor delay surge adjustments when active events cause delays</t>
        </is>
      </c>
      <c r="H380" s="5" t="inlineStr">
        <is>
          <t>backend_proxy_server.js</t>
        </is>
      </c>
      <c r="I380" s="5" t="n">
        <v>36421</v>
      </c>
    </row>
    <row r="381">
      <c r="A381" s="8" t="n">
        <v>380</v>
      </c>
      <c r="B381" s="12" t="inlineStr">
        <is>
          <t>GET</t>
        </is>
      </c>
      <c r="C381" s="10" t="inlineStr">
        <is>
          <t>/api/parking/historical/predict/:facilityId</t>
        </is>
      </c>
      <c r="D381" s="8" t="inlineStr">
        <is>
          <t>parking</t>
        </is>
      </c>
      <c r="E381" s="8" t="inlineStr">
        <is>
          <t>Truck parking</t>
        </is>
      </c>
      <c r="F381" s="8" t="inlineStr">
        <is>
          <t>Public (GET)</t>
        </is>
      </c>
      <c r="G381" s="8" t="inlineStr">
        <is>
          <t>Get prediction for a specific facility using historical patterns</t>
        </is>
      </c>
      <c r="H381" s="8" t="inlineStr">
        <is>
          <t>backend_proxy_server.js</t>
        </is>
      </c>
      <c r="I381" s="8" t="n">
        <v>36331</v>
      </c>
    </row>
    <row r="382">
      <c r="A382" s="5" t="n">
        <v>381</v>
      </c>
      <c r="B382" s="11" t="inlineStr">
        <is>
          <t>POST</t>
        </is>
      </c>
      <c r="C382" s="7" t="inlineStr">
        <is>
          <t>/api/parking/historical/reload</t>
        </is>
      </c>
      <c r="D382" s="5" t="inlineStr">
        <is>
          <t>parking</t>
        </is>
      </c>
      <c r="E382" s="5" t="inlineStr">
        <is>
          <t>Truck parking</t>
        </is>
      </c>
      <c r="F382" s="5" t="inlineStr">
        <is>
          <t>Write - check handler</t>
        </is>
      </c>
      <c r="G382" s="5" t="inlineStr">
        <is>
          <t>Reload parking patterns from database</t>
        </is>
      </c>
      <c r="H382" s="5" t="inlineStr">
        <is>
          <t>backend_proxy_server.js</t>
        </is>
      </c>
      <c r="I382" s="5" t="n">
        <v>36530</v>
      </c>
    </row>
    <row r="383">
      <c r="A383" s="8" t="n">
        <v>382</v>
      </c>
      <c r="B383" s="12" t="inlineStr">
        <is>
          <t>GET</t>
        </is>
      </c>
      <c r="C383" s="10" t="inlineStr">
        <is>
          <t>/api/parking/historical/state/:stateCode</t>
        </is>
      </c>
      <c r="D383" s="8" t="inlineStr">
        <is>
          <t>parking</t>
        </is>
      </c>
      <c r="E383" s="8" t="inlineStr">
        <is>
          <t>Truck parking</t>
        </is>
      </c>
      <c r="F383" s="8" t="inlineStr">
        <is>
          <t>Public (GET)</t>
        </is>
      </c>
      <c r="G383" s="8" t="inlineStr">
        <is>
          <t>Get facilities by state with predictions</t>
        </is>
      </c>
      <c r="H383" s="8" t="inlineStr">
        <is>
          <t>backend_proxy_server.js</t>
        </is>
      </c>
      <c r="I383" s="8" t="n">
        <v>36497</v>
      </c>
    </row>
    <row r="384">
      <c r="A384" s="5" t="n">
        <v>383</v>
      </c>
      <c r="B384" s="6" t="inlineStr">
        <is>
          <t>GET</t>
        </is>
      </c>
      <c r="C384" s="7" t="inlineStr">
        <is>
          <t>/api/parking/historical/summary</t>
        </is>
      </c>
      <c r="D384" s="5" t="inlineStr">
        <is>
          <t>parking</t>
        </is>
      </c>
      <c r="E384" s="5" t="inlineStr">
        <is>
          <t>Truck parking</t>
        </is>
      </c>
      <c r="F384" s="5" t="inlineStr">
        <is>
          <t>Public (GET)</t>
        </is>
      </c>
      <c r="G384" s="5" t="inlineStr">
        <is>
          <t>Get summary statistics</t>
        </is>
      </c>
      <c r="H384" s="5" t="inlineStr">
        <is>
          <t>backend_proxy_server.js</t>
        </is>
      </c>
      <c r="I384" s="5" t="n">
        <v>36514</v>
      </c>
    </row>
    <row r="385">
      <c r="A385" s="8" t="n">
        <v>384</v>
      </c>
      <c r="B385" s="9" t="inlineStr">
        <is>
          <t>POST</t>
        </is>
      </c>
      <c r="C385" s="10" t="inlineStr">
        <is>
          <t>/api/parking/historical/update-coordinates</t>
        </is>
      </c>
      <c r="D385" s="8" t="inlineStr">
        <is>
          <t>parking</t>
        </is>
      </c>
      <c r="E385" s="8" t="inlineStr">
        <is>
          <t>Truck parking</t>
        </is>
      </c>
      <c r="F385" s="8" t="inlineStr">
        <is>
          <t>Write - check handler</t>
        </is>
      </c>
      <c r="G385" s="8" t="inlineStr">
        <is>
          <t>Admin: Update parking facility coordinates</t>
        </is>
      </c>
      <c r="H385" s="8" t="inlineStr">
        <is>
          <t>backend_proxy_server.js</t>
        </is>
      </c>
      <c r="I385" s="8" t="n">
        <v>37696</v>
      </c>
    </row>
    <row r="386">
      <c r="A386" s="5" t="n">
        <v>385</v>
      </c>
      <c r="B386" s="6" t="inlineStr">
        <is>
          <t>GET</t>
        </is>
      </c>
      <c r="C386" s="7" t="inlineStr">
        <is>
          <t>/api/parking/history/:facilityId</t>
        </is>
      </c>
      <c r="D386" s="5" t="inlineStr">
        <is>
          <t>parking</t>
        </is>
      </c>
      <c r="E386" s="5" t="inlineStr">
        <is>
          <t>Truck parking</t>
        </is>
      </c>
      <c r="F386" s="5" t="inlineStr">
        <is>
          <t>Public (GET)</t>
        </is>
      </c>
      <c r="G386" s="5" t="inlineStr">
        <is>
          <t>Get parking history for a facility</t>
        </is>
      </c>
      <c r="H386" s="5" t="inlineStr">
        <is>
          <t>backend_proxy_server.js</t>
        </is>
      </c>
      <c r="I386" s="5" t="n">
        <v>36168</v>
      </c>
    </row>
    <row r="387">
      <c r="A387" s="8" t="n">
        <v>386</v>
      </c>
      <c r="B387" s="12" t="inlineStr">
        <is>
          <t>GET</t>
        </is>
      </c>
      <c r="C387" s="10" t="inlineStr">
        <is>
          <t>/api/parking/nearby</t>
        </is>
      </c>
      <c r="D387" s="8" t="inlineStr">
        <is>
          <t>parking</t>
        </is>
      </c>
      <c r="E387" s="8" t="inlineStr">
        <is>
          <t>Truck parking</t>
        </is>
      </c>
      <c r="F387" s="8" t="inlineStr">
        <is>
          <t>Public (GET)</t>
        </is>
      </c>
      <c r="G387" s="8" t="inlineStr">
        <is>
          <t>Find available parking nearby</t>
        </is>
      </c>
      <c r="H387" s="8" t="inlineStr">
        <is>
          <t>backend_proxy_server.js</t>
        </is>
      </c>
      <c r="I387" s="8" t="n">
        <v>36277</v>
      </c>
    </row>
    <row r="388">
      <c r="A388" s="5" t="n">
        <v>387</v>
      </c>
      <c r="B388" s="6" t="inlineStr">
        <is>
          <t>GET</t>
        </is>
      </c>
      <c r="C388" s="7" t="inlineStr">
        <is>
          <t>/api/parking/predict-all</t>
        </is>
      </c>
      <c r="D388" s="5" t="inlineStr">
        <is>
          <t>parking</t>
        </is>
      </c>
      <c r="E388" s="5" t="inlineStr">
        <is>
          <t>Truck parking</t>
        </is>
      </c>
      <c r="F388" s="5" t="inlineStr">
        <is>
          <t>Public (GET)</t>
        </is>
      </c>
      <c r="G388" s="5" t="inlineStr">
        <is>
          <t>Get predictions for all facilities</t>
        </is>
      </c>
      <c r="H388" s="5" t="inlineStr">
        <is>
          <t>backend_proxy_server.js</t>
        </is>
      </c>
      <c r="I388" s="5" t="n">
        <v>36265</v>
      </c>
    </row>
    <row r="389">
      <c r="A389" s="8" t="n">
        <v>388</v>
      </c>
      <c r="B389" s="12" t="inlineStr">
        <is>
          <t>GET</t>
        </is>
      </c>
      <c r="C389" s="10" t="inlineStr">
        <is>
          <t>/api/parking/predict/:facilityId</t>
        </is>
      </c>
      <c r="D389" s="8" t="inlineStr">
        <is>
          <t>parking</t>
        </is>
      </c>
      <c r="E389" s="8" t="inlineStr">
        <is>
          <t>Truck parking</t>
        </is>
      </c>
      <c r="F389" s="8" t="inlineStr">
        <is>
          <t>Public (GET)</t>
        </is>
      </c>
      <c r="G389" s="8" t="inlineStr">
        <is>
          <t>Get prediction for a specific facility</t>
        </is>
      </c>
      <c r="H389" s="8" t="inlineStr">
        <is>
          <t>backend_proxy_server.js</t>
        </is>
      </c>
      <c r="I389" s="8" t="n">
        <v>36246</v>
      </c>
    </row>
    <row r="390">
      <c r="A390" s="5" t="n">
        <v>389</v>
      </c>
      <c r="B390" s="6" t="inlineStr">
        <is>
          <t>GET</t>
        </is>
      </c>
      <c r="C390" s="7" t="inlineStr">
        <is>
          <t>/api/parking/validation</t>
        </is>
      </c>
      <c r="D390" s="5" t="inlineStr">
        <is>
          <t>parking</t>
        </is>
      </c>
      <c r="E390" s="5" t="inlineStr">
        <is>
          <t>Truck parking</t>
        </is>
      </c>
      <c r="F390" s="5" t="inlineStr">
        <is>
          <t>requireAdmin</t>
        </is>
      </c>
      <c r="G390" s="5" t="inlineStr">
        <is>
          <t>Get prediction validation results</t>
        </is>
      </c>
      <c r="H390" s="5" t="inlineStr">
        <is>
          <t>backend_proxy_server.js</t>
        </is>
      </c>
      <c r="I390" s="5" t="n">
        <v>37754</v>
      </c>
    </row>
    <row r="391">
      <c r="A391" s="8" t="n">
        <v>390</v>
      </c>
      <c r="B391" s="12" t="inlineStr">
        <is>
          <t>GET</t>
        </is>
      </c>
      <c r="C391" s="10" t="inlineStr">
        <is>
          <t>/api/plugins/analytics/:providerId</t>
        </is>
      </c>
      <c r="D391" s="8" t="inlineStr">
        <is>
          <t>plugins</t>
        </is>
      </c>
      <c r="E391" s="8" t="inlineStr">
        <is>
          <t>Collaboration</t>
        </is>
      </c>
      <c r="F391" s="8" t="inlineStr">
        <is>
          <t>Public (GET)</t>
        </is>
      </c>
      <c r="G391" s="8" t="inlineStr">
        <is>
          <t>GET /api/plugins/analytics/:providerId - Get provider analytics (requires API key)</t>
        </is>
      </c>
      <c r="H391" s="8" t="inlineStr">
        <is>
          <t>backend_proxy_server.js</t>
        </is>
      </c>
      <c r="I391" s="8" t="n">
        <v>16888</v>
      </c>
    </row>
    <row r="392">
      <c r="A392" s="5" t="n">
        <v>391</v>
      </c>
      <c r="B392" s="6" t="inlineStr">
        <is>
          <t>GET</t>
        </is>
      </c>
      <c r="C392" s="7" t="inlineStr">
        <is>
          <t>/api/plugins/events</t>
        </is>
      </c>
      <c r="D392" s="5" t="inlineStr">
        <is>
          <t>plugins</t>
        </is>
      </c>
      <c r="E392" s="5" t="inlineStr">
        <is>
          <t>Collaboration</t>
        </is>
      </c>
      <c r="F392" s="5" t="inlineStr">
        <is>
          <t>Public (GET)</t>
        </is>
      </c>
      <c r="G392" s="5" t="inlineStr">
        <is>
          <t>GET /api/plugins/events - Get plugin events (public or authenticated)</t>
        </is>
      </c>
      <c r="H392" s="5" t="inlineStr">
        <is>
          <t>backend_proxy_server.js</t>
        </is>
      </c>
      <c r="I392" s="5" t="n">
        <v>16766</v>
      </c>
    </row>
    <row r="393">
      <c r="A393" s="8" t="n">
        <v>392</v>
      </c>
      <c r="B393" s="9" t="inlineStr">
        <is>
          <t>POST</t>
        </is>
      </c>
      <c r="C393" s="10" t="inlineStr">
        <is>
          <t>/api/plugins/events</t>
        </is>
      </c>
      <c r="D393" s="8" t="inlineStr">
        <is>
          <t>plugins</t>
        </is>
      </c>
      <c r="E393" s="8" t="inlineStr">
        <is>
          <t>Collaboration</t>
        </is>
      </c>
      <c r="F393" s="8" t="inlineStr">
        <is>
          <t>Write - check handler</t>
        </is>
      </c>
      <c r="G393" s="8" t="inlineStr">
        <is>
          <t>POST /api/plugins/events - Submit plugin event (requires API key)</t>
        </is>
      </c>
      <c r="H393" s="8" t="inlineStr">
        <is>
          <t>backend_proxy_server.js</t>
        </is>
      </c>
      <c r="I393" s="8" t="n">
        <v>16747</v>
      </c>
    </row>
    <row r="394">
      <c r="A394" s="5" t="n">
        <v>393</v>
      </c>
      <c r="B394" s="6" t="inlineStr">
        <is>
          <t>GET</t>
        </is>
      </c>
      <c r="C394" s="7" t="inlineStr">
        <is>
          <t>/api/plugins/providers</t>
        </is>
      </c>
      <c r="D394" s="5" t="inlineStr">
        <is>
          <t>plugins</t>
        </is>
      </c>
      <c r="E394" s="5" t="inlineStr">
        <is>
          <t>Collaboration</t>
        </is>
      </c>
      <c r="F394" s="5" t="inlineStr">
        <is>
          <t>Public (GET)</t>
        </is>
      </c>
      <c r="G394" s="5" t="inlineStr">
        <is>
          <t>GET /api/plugins/providers - Get all active providers</t>
        </is>
      </c>
      <c r="H394" s="5" t="inlineStr">
        <is>
          <t>backend_proxy_server.js</t>
        </is>
      </c>
      <c r="I394" s="5" t="n">
        <v>16795</v>
      </c>
    </row>
    <row r="395">
      <c r="A395" s="8" t="n">
        <v>394</v>
      </c>
      <c r="B395" s="9" t="inlineStr">
        <is>
          <t>POST</t>
        </is>
      </c>
      <c r="C395" s="10" t="inlineStr">
        <is>
          <t>/api/plugins/register</t>
        </is>
      </c>
      <c r="D395" s="8" t="inlineStr">
        <is>
          <t>plugins</t>
        </is>
      </c>
      <c r="E395" s="8" t="inlineStr">
        <is>
          <t>Collaboration</t>
        </is>
      </c>
      <c r="F395" s="8" t="inlineStr">
        <is>
          <t>Write - check handler</t>
        </is>
      </c>
      <c r="G395" s="8" t="inlineStr">
        <is>
          <t>POST /api/plugins/register - Register new plugin provider</t>
        </is>
      </c>
      <c r="H395" s="8" t="inlineStr">
        <is>
          <t>backend_proxy_server.js</t>
        </is>
      </c>
      <c r="I395" s="8" t="n">
        <v>16728</v>
      </c>
    </row>
    <row r="396">
      <c r="A396" s="5" t="n">
        <v>395</v>
      </c>
      <c r="B396" s="11" t="inlineStr">
        <is>
          <t>POST</t>
        </is>
      </c>
      <c r="C396" s="7" t="inlineStr">
        <is>
          <t>/api/population/estimate</t>
        </is>
      </c>
      <c r="D396" s="5" t="inlineStr">
        <is>
          <t>population</t>
        </is>
      </c>
      <c r="E396" s="5" t="inlineStr">
        <is>
          <t>Analytics &amp; prediction</t>
        </is>
      </c>
      <c r="F396" s="5" t="inlineStr">
        <is>
          <t>Write - check handler</t>
        </is>
      </c>
      <c r="G396" s="5" t="inlineStr">
        <is>
          <t>POST /api/population/estimate - Estimate population within geofence</t>
        </is>
      </c>
      <c r="H396" s="5" t="inlineStr">
        <is>
          <t>backend_proxy_server.js</t>
        </is>
      </c>
      <c r="I396" s="5" t="n">
        <v>16551</v>
      </c>
    </row>
    <row r="397">
      <c r="A397" s="8" t="n">
        <v>396</v>
      </c>
      <c r="B397" s="9" t="inlineStr">
        <is>
          <t>POST</t>
        </is>
      </c>
      <c r="C397" s="10" t="inlineStr">
        <is>
          <t>/api/population/exclude-urban</t>
        </is>
      </c>
      <c r="D397" s="8" t="inlineStr">
        <is>
          <t>population</t>
        </is>
      </c>
      <c r="E397" s="8" t="inlineStr">
        <is>
          <t>Analytics &amp; prediction</t>
        </is>
      </c>
      <c r="F397" s="8" t="inlineStr">
        <is>
          <t>Write - check handler</t>
        </is>
      </c>
      <c r="G397" s="8" t="inlineStr">
        <is>
          <t>POST /api/population/exclude-urban - Exclude urban areas from geofence</t>
        </is>
      </c>
      <c r="H397" s="8" t="inlineStr">
        <is>
          <t>backend_proxy_server.js</t>
        </is>
      </c>
      <c r="I397" s="8" t="n">
        <v>16671</v>
      </c>
    </row>
    <row r="398">
      <c r="A398" s="5" t="n">
        <v>397</v>
      </c>
      <c r="B398" s="6" t="inlineStr">
        <is>
          <t>GET</t>
        </is>
      </c>
      <c r="C398" s="7" t="inlineStr">
        <is>
          <t>/api/population/heatmap</t>
        </is>
      </c>
      <c r="D398" s="5" t="inlineStr">
        <is>
          <t>population</t>
        </is>
      </c>
      <c r="E398" s="5" t="inlineStr">
        <is>
          <t>Analytics &amp; prediction</t>
        </is>
      </c>
      <c r="F398" s="5" t="inlineStr">
        <is>
          <t>Public (GET)</t>
        </is>
      </c>
      <c r="G398" s="5" t="inlineStr">
        <is>
          <t>GET /api/population/heatmap - Get population density heatmap for bounds</t>
        </is>
      </c>
      <c r="H398" s="5" t="inlineStr">
        <is>
          <t>backend_proxy_server.js</t>
        </is>
      </c>
      <c r="I398" s="5" t="n">
        <v>16605</v>
      </c>
    </row>
    <row r="399">
      <c r="A399" s="8" t="n">
        <v>398</v>
      </c>
      <c r="B399" s="9" t="inlineStr">
        <is>
          <t>POST</t>
        </is>
      </c>
      <c r="C399" s="10" t="inlineStr">
        <is>
          <t>/api/population/suggest-adjustment</t>
        </is>
      </c>
      <c r="D399" s="8" t="inlineStr">
        <is>
          <t>population</t>
        </is>
      </c>
      <c r="E399" s="8" t="inlineStr">
        <is>
          <t>Analytics &amp; prediction</t>
        </is>
      </c>
      <c r="F399" s="8" t="inlineStr">
        <is>
          <t>Write - check handler</t>
        </is>
      </c>
      <c r="G399" s="8" t="inlineStr">
        <is>
          <t>POST /api/population/suggest-adjustment - Suggest geofence adjustment to meet population target</t>
        </is>
      </c>
      <c r="H399" s="8" t="inlineStr">
        <is>
          <t>backend_proxy_server.js</t>
        </is>
      </c>
      <c r="I399" s="8" t="n">
        <v>16640</v>
      </c>
    </row>
    <row r="400">
      <c r="A400" s="5" t="n">
        <v>399</v>
      </c>
      <c r="B400" s="11" t="inlineStr">
        <is>
          <t>POST</t>
        </is>
      </c>
      <c r="C400" s="7" t="inlineStr">
        <is>
          <t>/api/population/visualization</t>
        </is>
      </c>
      <c r="D400" s="5" t="inlineStr">
        <is>
          <t>population</t>
        </is>
      </c>
      <c r="E400" s="5" t="inlineStr">
        <is>
          <t>Analytics &amp; prediction</t>
        </is>
      </c>
      <c r="F400" s="5" t="inlineStr">
        <is>
          <t>Write - check handler</t>
        </is>
      </c>
      <c r="G400" s="5" t="inlineStr">
        <is>
          <t>POST /api/population/visualization - Get population visualization data for map</t>
        </is>
      </c>
      <c r="H400" s="5" t="inlineStr">
        <is>
          <t>backend_proxy_server.js</t>
        </is>
      </c>
      <c r="I400" s="5" t="n">
        <v>16578</v>
      </c>
    </row>
    <row r="401">
      <c r="A401" s="8" t="n">
        <v>400</v>
      </c>
      <c r="B401" s="12" t="inlineStr">
        <is>
          <t>GET</t>
        </is>
      </c>
      <c r="C401" s="10" t="inlineStr">
        <is>
          <t>/api/predictive/congestion-forecast</t>
        </is>
      </c>
      <c r="D401" s="8" t="inlineStr">
        <is>
          <t>predictive</t>
        </is>
      </c>
      <c r="E401" s="8" t="inlineStr">
        <is>
          <t>Analytics &amp; prediction</t>
        </is>
      </c>
      <c r="F401" s="8" t="inlineStr">
        <is>
          <t>Public (GET)</t>
        </is>
      </c>
      <c r="G401" s="8" t="inlineStr">
        <is>
          <t>- severity-weighted count (high=3, medium=2, low=1) - 1h trend: events that started in last hour vs prior 3-hour window 3. Project a "predicted_speed_mph" / congestion level from severity-weighted count using a simple monotonic mapping (more events = slower predicted speed) 4. Return one row per cor</t>
        </is>
      </c>
      <c r="H401" s="8" t="inlineStr">
        <is>
          <t>backend_proxy_server.js</t>
        </is>
      </c>
      <c r="I401" s="8" t="n">
        <v>23041</v>
      </c>
    </row>
    <row r="402">
      <c r="A402" s="5" t="n">
        <v>401</v>
      </c>
      <c r="B402" s="6" t="inlineStr">
        <is>
          <t>GET</t>
        </is>
      </c>
      <c r="C402" s="7" t="inlineStr">
        <is>
          <t>/api/predictive/dynamic-routing</t>
        </is>
      </c>
      <c r="D402" s="5" t="inlineStr">
        <is>
          <t>predictive</t>
        </is>
      </c>
      <c r="E402" s="5" t="inlineStr">
        <is>
          <t>Analytics &amp; prediction</t>
        </is>
      </c>
      <c r="F402" s="5" t="inlineStr">
        <is>
          <t>Public (GET)</t>
        </is>
      </c>
      <c r="G402" s="5" t="inlineStr">
        <is>
          <t>6.4 Demand-Based Dynamic Routing Calculates optimal routes with load balancing</t>
        </is>
      </c>
      <c r="H402" s="5" t="inlineStr">
        <is>
          <t>backend_proxy_server.js</t>
        </is>
      </c>
      <c r="I402" s="5" t="n">
        <v>23420</v>
      </c>
    </row>
    <row r="403">
      <c r="A403" s="8" t="n">
        <v>402</v>
      </c>
      <c r="B403" s="12" t="inlineStr">
        <is>
          <t>GET</t>
        </is>
      </c>
      <c r="C403" s="10" t="inlineStr">
        <is>
          <t>/api/predictive/incident-impact</t>
        </is>
      </c>
      <c r="D403" s="8" t="inlineStr">
        <is>
          <t>predictive</t>
        </is>
      </c>
      <c r="E403" s="8" t="inlineStr">
        <is>
          <t>Analytics &amp; prediction</t>
        </is>
      </c>
      <c r="F403" s="8" t="inlineStr">
        <is>
          <t>Public (GET)</t>
        </is>
      </c>
      <c r="G403" s="8" t="inlineStr">
        <is>
          <t>Approach (no ML, all derived from event fields): - Base duration by eventType (Incident=45m, Crash=60m, Closure=90m, Weather=120m, Construction=180m) - Multiply by lane-closure scope (all=1.5x, multi-lane=1.2x, shoulder=0.6x) - Multiply by severity (high=1.4x, medium=1.0x, low=0.7x) - FHWA cost-of-c</t>
        </is>
      </c>
      <c r="H403" s="8" t="inlineStr">
        <is>
          <t>backend_proxy_server.js</t>
        </is>
      </c>
      <c r="I403" s="8" t="n">
        <v>23168</v>
      </c>
    </row>
    <row r="404">
      <c r="A404" s="5" t="n">
        <v>403</v>
      </c>
      <c r="B404" s="6" t="inlineStr">
        <is>
          <t>GET</t>
        </is>
      </c>
      <c r="C404" s="7" t="inlineStr">
        <is>
          <t>/api/predictive/safety-risk</t>
        </is>
      </c>
      <c r="D404" s="5" t="inlineStr">
        <is>
          <t>predictive</t>
        </is>
      </c>
      <c r="E404" s="5" t="inlineStr">
        <is>
          <t>Analytics &amp; prediction</t>
        </is>
      </c>
      <c r="F404" s="5" t="inlineStr">
        <is>
          <t>Public (GET)</t>
        </is>
      </c>
      <c r="G404" s="5" t="inlineStr">
        <is>
          <t>Real per-event safety risk scoring derived from active work zones in the cache. Heuristic — combines severity, lane-closure indicators, work-zone type, time-of-day, and description keywords. No ML, but every number has a defensible source.</t>
        </is>
      </c>
      <c r="H404" s="5" t="inlineStr">
        <is>
          <t>backend_proxy_server.js</t>
        </is>
      </c>
      <c r="I404" s="5" t="n">
        <v>23297</v>
      </c>
    </row>
    <row r="405">
      <c r="A405" s="8" t="n">
        <v>404</v>
      </c>
      <c r="B405" s="12" t="inlineStr">
        <is>
          <t>GET</t>
        </is>
      </c>
      <c r="C405" s="10" t="inlineStr">
        <is>
          <t>/api/predictive-maintenance/cost-savings/:stateKey</t>
        </is>
      </c>
      <c r="D405" s="8" t="inlineStr">
        <is>
          <t>predictive-maintenance</t>
        </is>
      </c>
      <c r="E405" s="8" t="inlineStr">
        <is>
          <t>ITS / infrastructure</t>
        </is>
      </c>
      <c r="F405" s="8" t="inlineStr">
        <is>
          <t>Public (GET)</t>
        </is>
      </c>
      <c r="G405" s="8" t="inlineStr">
        <is>
          <t>Get cost savings analysis for a state GET /api/predictive-maintenance/cost-savings/:stateKey</t>
        </is>
      </c>
      <c r="H405" s="8" t="inlineStr">
        <is>
          <t>backend_proxy_server.js</t>
        </is>
      </c>
      <c r="I405" s="8" t="n">
        <v>22940</v>
      </c>
    </row>
    <row r="406">
      <c r="A406" s="5" t="n">
        <v>405</v>
      </c>
      <c r="B406" s="6" t="inlineStr">
        <is>
          <t>GET</t>
        </is>
      </c>
      <c r="C406" s="7" t="inlineStr">
        <is>
          <t>/api/predictive-maintenance/critical-alerts/:stateKey</t>
        </is>
      </c>
      <c r="D406" s="5" t="inlineStr">
        <is>
          <t>predictive-maintenance</t>
        </is>
      </c>
      <c r="E406" s="5" t="inlineStr">
        <is>
          <t>ITS / infrastructure</t>
        </is>
      </c>
      <c r="F406" s="5" t="inlineStr">
        <is>
          <t>Public (GET)</t>
        </is>
      </c>
      <c r="G406" s="5" t="inlineStr">
        <is>
          <t>Get critical alerts (high-risk assets) GET /api/predictive-maintenance/critical-alerts/:stateKey</t>
        </is>
      </c>
      <c r="H406" s="5" t="inlineStr">
        <is>
          <t>backend_proxy_server.js</t>
        </is>
      </c>
      <c r="I406" s="5" t="n">
        <v>22912</v>
      </c>
    </row>
    <row r="407">
      <c r="A407" s="8" t="n">
        <v>406</v>
      </c>
      <c r="B407" s="9" t="inlineStr">
        <is>
          <t>POST</t>
        </is>
      </c>
      <c r="C407" s="10" t="inlineStr">
        <is>
          <t>/api/predictive-maintenance/predict/:stateKey</t>
        </is>
      </c>
      <c r="D407" s="8" t="inlineStr">
        <is>
          <t>predictive-maintenance</t>
        </is>
      </c>
      <c r="E407" s="8" t="inlineStr">
        <is>
          <t>ITS / infrastructure</t>
        </is>
      </c>
      <c r="F407" s="8" t="inlineStr">
        <is>
          <t>Write - check handler</t>
        </is>
      </c>
      <c r="G407" s="8" t="inlineStr">
        <is>
          <t>Get predictive maintenance recommendations for a state POST /api/predictive-maintenance/predict/:stateKey</t>
        </is>
      </c>
      <c r="H407" s="8" t="inlineStr">
        <is>
          <t>backend_proxy_server.js</t>
        </is>
      </c>
      <c r="I407" s="8" t="n">
        <v>22884</v>
      </c>
    </row>
    <row r="408">
      <c r="A408" s="5" t="n">
        <v>407</v>
      </c>
      <c r="B408" s="6" t="inlineStr">
        <is>
          <t>GET</t>
        </is>
      </c>
      <c r="C408" s="7" t="inlineStr">
        <is>
          <t>/api/procurement/contracts</t>
        </is>
      </c>
      <c r="D408" s="5" t="inlineStr">
        <is>
          <t>procurement</t>
        </is>
      </c>
      <c r="E408" s="5" t="inlineStr">
        <is>
          <t>Procurement</t>
        </is>
      </c>
      <c r="F408" s="5" t="inlineStr">
        <is>
          <t>Public (GET)</t>
        </is>
      </c>
      <c r="G408" s="5" t="inlineStr">
        <is>
          <t>GET /api/procurement/contracts — real list with optional filters</t>
        </is>
      </c>
      <c r="H408" s="5" t="inlineStr">
        <is>
          <t>backend_proxy_server.js</t>
        </is>
      </c>
      <c r="I408" s="5" t="n">
        <v>23841</v>
      </c>
    </row>
    <row r="409">
      <c r="A409" s="8" t="n">
        <v>408</v>
      </c>
      <c r="B409" s="9" t="inlineStr">
        <is>
          <t>POST</t>
        </is>
      </c>
      <c r="C409" s="10" t="inlineStr">
        <is>
          <t>/api/procurement/contracts</t>
        </is>
      </c>
      <c r="D409" s="8" t="inlineStr">
        <is>
          <t>procurement</t>
        </is>
      </c>
      <c r="E409" s="8" t="inlineStr">
        <is>
          <t>Procurement</t>
        </is>
      </c>
      <c r="F409" s="8" t="inlineStr">
        <is>
          <t>requireAdmin</t>
        </is>
      </c>
      <c r="G409" s="8" t="inlineStr">
        <is>
          <t>POST /api/procurement/contracts — create (admin-only)</t>
        </is>
      </c>
      <c r="H409" s="8" t="inlineStr">
        <is>
          <t>backend_proxy_server.js</t>
        </is>
      </c>
      <c r="I409" s="8" t="n">
        <v>23915</v>
      </c>
    </row>
    <row r="410">
      <c r="A410" s="5" t="n">
        <v>409</v>
      </c>
      <c r="B410" s="13" t="inlineStr">
        <is>
          <t>DELETE</t>
        </is>
      </c>
      <c r="C410" s="7" t="inlineStr">
        <is>
          <t>/api/procurement/contracts/:id</t>
        </is>
      </c>
      <c r="D410" s="5" t="inlineStr">
        <is>
          <t>procurement</t>
        </is>
      </c>
      <c r="E410" s="5" t="inlineStr">
        <is>
          <t>Procurement</t>
        </is>
      </c>
      <c r="F410" s="5" t="inlineStr">
        <is>
          <t>requireAdmin</t>
        </is>
      </c>
      <c r="G410" s="5" t="inlineStr">
        <is>
          <t>DELETE /api/procurement/contracts/:id (admin-only)</t>
        </is>
      </c>
      <c r="H410" s="5" t="inlineStr">
        <is>
          <t>backend_proxy_server.js</t>
        </is>
      </c>
      <c r="I410" s="5" t="n">
        <v>24020</v>
      </c>
    </row>
    <row r="411">
      <c r="A411" s="8" t="n">
        <v>410</v>
      </c>
      <c r="B411" s="14" t="inlineStr">
        <is>
          <t>PUT</t>
        </is>
      </c>
      <c r="C411" s="10" t="inlineStr">
        <is>
          <t>/api/procurement/contracts/:id</t>
        </is>
      </c>
      <c r="D411" s="8" t="inlineStr">
        <is>
          <t>procurement</t>
        </is>
      </c>
      <c r="E411" s="8" t="inlineStr">
        <is>
          <t>Procurement</t>
        </is>
      </c>
      <c r="F411" s="8" t="inlineStr">
        <is>
          <t>requireAdmin</t>
        </is>
      </c>
      <c r="G411" s="8" t="inlineStr">
        <is>
          <t>PUT /api/procurement/contracts/:id — update (admin-only)</t>
        </is>
      </c>
      <c r="H411" s="8" t="inlineStr">
        <is>
          <t>backend_proxy_server.js</t>
        </is>
      </c>
      <c r="I411" s="8" t="n">
        <v>23968</v>
      </c>
    </row>
    <row r="412">
      <c r="A412" s="5" t="n">
        <v>411</v>
      </c>
      <c r="B412" s="6" t="inlineStr">
        <is>
          <t>GET</t>
        </is>
      </c>
      <c r="C412" s="7" t="inlineStr">
        <is>
          <t>/api/procurement/cost-analysis</t>
        </is>
      </c>
      <c r="D412" s="5" t="inlineStr">
        <is>
          <t>procurement</t>
        </is>
      </c>
      <c r="E412" s="5" t="inlineStr">
        <is>
          <t>Procurement</t>
        </is>
      </c>
      <c r="F412" s="5" t="inlineStr">
        <is>
          <t>Public (GET)</t>
        </is>
      </c>
      <c r="G412" s="5" t="inlineStr">
        <is>
          <t>GET /api/procurement/cost-analysis — per-state aggregates against real 30-day event volume from the cache. No more peer-percentile fiction — we expose the actual numbers instead.</t>
        </is>
      </c>
      <c r="H412" s="5" t="inlineStr">
        <is>
          <t>backend_proxy_server.js</t>
        </is>
      </c>
      <c r="I412" s="5" t="n">
        <v>24103</v>
      </c>
    </row>
    <row r="413">
      <c r="A413" s="8" t="n">
        <v>412</v>
      </c>
      <c r="B413" s="12" t="inlineStr">
        <is>
          <t>GET</t>
        </is>
      </c>
      <c r="C413" s="10" t="inlineStr">
        <is>
          <t>/api/procurement/expiration-alerts</t>
        </is>
      </c>
      <c r="D413" s="8" t="inlineStr">
        <is>
          <t>procurement</t>
        </is>
      </c>
      <c r="E413" s="8" t="inlineStr">
        <is>
          <t>Procurement</t>
        </is>
      </c>
      <c r="F413" s="8" t="inlineStr">
        <is>
          <t>Public (GET)</t>
        </is>
      </c>
      <c r="G413" s="8" t="inlineStr">
        <is>
          <t>GET /api/procurement/expiration-alerts — derived from real contract end dates</t>
        </is>
      </c>
      <c r="H413" s="8" t="inlineStr">
        <is>
          <t>backend_proxy_server.js</t>
        </is>
      </c>
      <c r="I413" s="8" t="n">
        <v>24039</v>
      </c>
    </row>
    <row r="414">
      <c r="A414" s="5" t="n">
        <v>413</v>
      </c>
      <c r="B414" s="6" t="inlineStr">
        <is>
          <t>GET</t>
        </is>
      </c>
      <c r="C414" s="7" t="inlineStr">
        <is>
          <t>/api/projects</t>
        </is>
      </c>
      <c r="D414" s="5" t="inlineStr">
        <is>
          <t>projects</t>
        </is>
      </c>
      <c r="E414" s="5" t="inlineStr">
        <is>
          <t>Projects</t>
        </is>
      </c>
      <c r="F414" s="5" t="inlineStr">
        <is>
          <t>Public (GET)</t>
        </is>
      </c>
      <c r="G414" s="5" t="inlineStr">
        <is>
          <t>Get all projects</t>
        </is>
      </c>
      <c r="H414" s="5" t="inlineStr">
        <is>
          <t>backend_proxy_server.js</t>
        </is>
      </c>
      <c r="I414" s="5" t="n">
        <v>18950</v>
      </c>
    </row>
    <row r="415">
      <c r="A415" s="8" t="n">
        <v>414</v>
      </c>
      <c r="B415" s="9" t="inlineStr">
        <is>
          <t>POST</t>
        </is>
      </c>
      <c r="C415" s="10" t="inlineStr">
        <is>
          <t>/api/projects</t>
        </is>
      </c>
      <c r="D415" s="8" t="inlineStr">
        <is>
          <t>projects</t>
        </is>
      </c>
      <c r="E415" s="8" t="inlineStr">
        <is>
          <t>Projects</t>
        </is>
      </c>
      <c r="F415" s="8" t="inlineStr">
        <is>
          <t>requireAdmin</t>
        </is>
      </c>
      <c r="G415" s="8" t="inlineStr">
        <is>
          <t>Create new project</t>
        </is>
      </c>
      <c r="H415" s="8" t="inlineStr">
        <is>
          <t>backend_proxy_server.js</t>
        </is>
      </c>
      <c r="I415" s="8" t="n">
        <v>18986</v>
      </c>
    </row>
    <row r="416">
      <c r="A416" s="5" t="n">
        <v>415</v>
      </c>
      <c r="B416" s="13" t="inlineStr">
        <is>
          <t>DELETE</t>
        </is>
      </c>
      <c r="C416" s="7" t="inlineStr">
        <is>
          <t>/api/projects/:id</t>
        </is>
      </c>
      <c r="D416" s="5" t="inlineStr">
        <is>
          <t>projects</t>
        </is>
      </c>
      <c r="E416" s="5" t="inlineStr">
        <is>
          <t>Projects</t>
        </is>
      </c>
      <c r="F416" s="5" t="inlineStr">
        <is>
          <t>requireAdmin</t>
        </is>
      </c>
      <c r="G416" s="5" t="inlineStr">
        <is>
          <t>Delete project</t>
        </is>
      </c>
      <c r="H416" s="5" t="inlineStr">
        <is>
          <t>backend_proxy_server.js</t>
        </is>
      </c>
      <c r="I416" s="5" t="n">
        <v>19069</v>
      </c>
    </row>
    <row r="417">
      <c r="A417" s="8" t="n">
        <v>416</v>
      </c>
      <c r="B417" s="12" t="inlineStr">
        <is>
          <t>GET</t>
        </is>
      </c>
      <c r="C417" s="10" t="inlineStr">
        <is>
          <t>/api/projects/:id</t>
        </is>
      </c>
      <c r="D417" s="8" t="inlineStr">
        <is>
          <t>projects</t>
        </is>
      </c>
      <c r="E417" s="8" t="inlineStr">
        <is>
          <t>Projects</t>
        </is>
      </c>
      <c r="F417" s="8" t="inlineStr">
        <is>
          <t>Public (GET)</t>
        </is>
      </c>
      <c r="G417" s="8" t="inlineStr">
        <is>
          <t>Get single project</t>
        </is>
      </c>
      <c r="H417" s="8" t="inlineStr">
        <is>
          <t>backend_proxy_server.js</t>
        </is>
      </c>
      <c r="I417" s="8" t="n">
        <v>18972</v>
      </c>
    </row>
    <row r="418">
      <c r="A418" s="5" t="n">
        <v>417</v>
      </c>
      <c r="B418" s="16" t="inlineStr">
        <is>
          <t>PUT</t>
        </is>
      </c>
      <c r="C418" s="7" t="inlineStr">
        <is>
          <t>/api/projects/:id</t>
        </is>
      </c>
      <c r="D418" s="5" t="inlineStr">
        <is>
          <t>projects</t>
        </is>
      </c>
      <c r="E418" s="5" t="inlineStr">
        <is>
          <t>Projects</t>
        </is>
      </c>
      <c r="F418" s="5" t="inlineStr">
        <is>
          <t>requireAdmin</t>
        </is>
      </c>
      <c r="G418" s="5" t="inlineStr">
        <is>
          <t>Update project</t>
        </is>
      </c>
      <c r="H418" s="5" t="inlineStr">
        <is>
          <t>backend_proxy_server.js</t>
        </is>
      </c>
      <c r="I418" s="5" t="n">
        <v>19027</v>
      </c>
    </row>
    <row r="419">
      <c r="A419" s="8" t="n">
        <v>418</v>
      </c>
      <c r="B419" s="12" t="inlineStr">
        <is>
          <t>GET</t>
        </is>
      </c>
      <c r="C419" s="10" t="inlineStr">
        <is>
          <t>/api/provenance/:eventId</t>
        </is>
      </c>
      <c r="D419" s="8" t="inlineStr">
        <is>
          <t>provenance</t>
        </is>
      </c>
      <c r="E419" s="8" t="inlineStr">
        <is>
          <t>Data quality</t>
        </is>
      </c>
      <c r="F419" s="8" t="inlineStr">
        <is>
          <t>Public (GET)</t>
        </is>
      </c>
      <c r="G419" s="8">
        <f>========= FEATURE #4: Cryptographic Provenance Chain ==========</f>
        <v/>
      </c>
      <c r="H419" s="8" t="inlineStr">
        <is>
          <t>ml-integrations.js</t>
        </is>
      </c>
      <c r="I419" s="8" t="n">
        <v>127</v>
      </c>
    </row>
    <row r="420">
      <c r="A420" s="5" t="n">
        <v>419</v>
      </c>
      <c r="B420" s="6" t="inlineStr">
        <is>
          <t>GET</t>
        </is>
      </c>
      <c r="C420" s="7" t="inlineStr">
        <is>
          <t>/api/provenance/export/:eventId</t>
        </is>
      </c>
      <c r="D420" s="5" t="inlineStr">
        <is>
          <t>provenance</t>
        </is>
      </c>
      <c r="E420" s="5" t="inlineStr">
        <is>
          <t>Data quality</t>
        </is>
      </c>
      <c r="F420" s="5" t="inlineStr">
        <is>
          <t>Public (GET)</t>
        </is>
      </c>
      <c r="G420" s="5" t="inlineStr"/>
      <c r="H420" s="5" t="inlineStr">
        <is>
          <t>ml-integrations.js</t>
        </is>
      </c>
      <c r="I420" s="5" t="n">
        <v>164</v>
      </c>
    </row>
    <row r="421">
      <c r="A421" s="8" t="n">
        <v>420</v>
      </c>
      <c r="B421" s="12" t="inlineStr">
        <is>
          <t>GET</t>
        </is>
      </c>
      <c r="C421" s="10" t="inlineStr">
        <is>
          <t>/api/provenance/stats</t>
        </is>
      </c>
      <c r="D421" s="8" t="inlineStr">
        <is>
          <t>provenance</t>
        </is>
      </c>
      <c r="E421" s="8" t="inlineStr">
        <is>
          <t>Data quality</t>
        </is>
      </c>
      <c r="F421" s="8" t="inlineStr">
        <is>
          <t>requireAdmin</t>
        </is>
      </c>
      <c r="G421" s="8" t="inlineStr"/>
      <c r="H421" s="8" t="inlineStr">
        <is>
          <t>ml-integrations.js</t>
        </is>
      </c>
      <c r="I421" s="8" t="n">
        <v>183</v>
      </c>
    </row>
    <row r="422">
      <c r="A422" s="5" t="n">
        <v>421</v>
      </c>
      <c r="B422" s="6" t="inlineStr">
        <is>
          <t>GET</t>
        </is>
      </c>
      <c r="C422" s="7" t="inlineStr">
        <is>
          <t>/api/provenance/verify/chain</t>
        </is>
      </c>
      <c r="D422" s="5" t="inlineStr">
        <is>
          <t>provenance</t>
        </is>
      </c>
      <c r="E422" s="5" t="inlineStr">
        <is>
          <t>Data quality</t>
        </is>
      </c>
      <c r="F422" s="5" t="inlineStr">
        <is>
          <t>requireAdmin</t>
        </is>
      </c>
      <c r="G422" s="5" t="inlineStr"/>
      <c r="H422" s="5" t="inlineStr">
        <is>
          <t>ml-integrations.js</t>
        </is>
      </c>
      <c r="I422" s="5" t="n">
        <v>146</v>
      </c>
    </row>
    <row r="423">
      <c r="A423" s="8" t="n">
        <v>422</v>
      </c>
      <c r="B423" s="12" t="inlineStr">
        <is>
          <t>GET</t>
        </is>
      </c>
      <c r="C423" s="10" t="inlineStr">
        <is>
          <t>/api/quality/anomalies</t>
        </is>
      </c>
      <c r="D423" s="8" t="inlineStr">
        <is>
          <t>quality</t>
        </is>
      </c>
      <c r="E423" s="8" t="inlineStr">
        <is>
          <t>Data quality</t>
        </is>
      </c>
      <c r="F423" s="8" t="inlineStr">
        <is>
          <t>Public (GET)</t>
        </is>
      </c>
      <c r="G423" s="8" t="inlineStr">
        <is>
          <t>Get anomalies detected across all feeds</t>
        </is>
      </c>
      <c r="H423" s="8" t="inlineStr">
        <is>
          <t>backend_proxy_server.js</t>
        </is>
      </c>
      <c r="I423" s="8" t="n">
        <v>20622</v>
      </c>
    </row>
    <row r="424">
      <c r="A424" s="5" t="n">
        <v>423</v>
      </c>
      <c r="B424" s="6" t="inlineStr">
        <is>
          <t>GET</t>
        </is>
      </c>
      <c r="C424" s="7" t="inlineStr">
        <is>
          <t>/api/quality/event/:eventId</t>
        </is>
      </c>
      <c r="D424" s="5" t="inlineStr">
        <is>
          <t>quality</t>
        </is>
      </c>
      <c r="E424" s="5" t="inlineStr">
        <is>
          <t>Data quality</t>
        </is>
      </c>
      <c r="F424" s="5" t="inlineStr">
        <is>
          <t>Public (GET)</t>
        </is>
      </c>
      <c r="G424" s="5" t="inlineStr">
        <is>
          <t>Get quality assessment for a specific event</t>
        </is>
      </c>
      <c r="H424" s="5" t="inlineStr">
        <is>
          <t>backend_proxy_server.js</t>
        </is>
      </c>
      <c r="I424" s="5" t="n">
        <v>20587</v>
      </c>
    </row>
    <row r="425">
      <c r="A425" s="8" t="n">
        <v>424</v>
      </c>
      <c r="B425" s="12" t="inlineStr">
        <is>
          <t>GET</t>
        </is>
      </c>
      <c r="C425" s="10" t="inlineStr">
        <is>
          <t>/api/quality/feed/:feedKey</t>
        </is>
      </c>
      <c r="D425" s="8" t="inlineStr">
        <is>
          <t>quality</t>
        </is>
      </c>
      <c r="E425" s="8" t="inlineStr">
        <is>
          <t>Data quality</t>
        </is>
      </c>
      <c r="F425" s="8" t="inlineStr">
        <is>
          <t>Public (GET)</t>
        </is>
      </c>
      <c r="G425" s="8" t="inlineStr">
        <is>
          <t>Get feed health for specific feed</t>
        </is>
      </c>
      <c r="H425" s="8" t="inlineStr">
        <is>
          <t>backend_proxy_server.js</t>
        </is>
      </c>
      <c r="I425" s="8" t="n">
        <v>20604</v>
      </c>
    </row>
    <row r="426">
      <c r="A426" s="5" t="n">
        <v>425</v>
      </c>
      <c r="B426" s="6" t="inlineStr">
        <is>
          <t>GET</t>
        </is>
      </c>
      <c r="C426" s="7" t="inlineStr">
        <is>
          <t>/api/quality/feeds</t>
        </is>
      </c>
      <c r="D426" s="5" t="inlineStr">
        <is>
          <t>quality</t>
        </is>
      </c>
      <c r="E426" s="5" t="inlineStr">
        <is>
          <t>Data quality</t>
        </is>
      </c>
      <c r="F426" s="5" t="inlineStr">
        <is>
          <t>Public (GET)</t>
        </is>
      </c>
      <c r="G426" s="5" t="inlineStr">
        <is>
          <t>Get data quality dashboard for all feeds</t>
        </is>
      </c>
      <c r="H426" s="5" t="inlineStr">
        <is>
          <t>backend_proxy_server.js</t>
        </is>
      </c>
      <c r="I426" s="5" t="n">
        <v>20561</v>
      </c>
    </row>
    <row r="427">
      <c r="A427" s="8" t="n">
        <v>426</v>
      </c>
      <c r="B427" s="12" t="inlineStr">
        <is>
          <t>GET</t>
        </is>
      </c>
      <c r="C427" s="10" t="inlineStr">
        <is>
          <t>/api/reports/:stateCode/:month</t>
        </is>
      </c>
      <c r="D427" s="8" t="inlineStr">
        <is>
          <t>reports</t>
        </is>
      </c>
      <c r="E427" s="8" t="inlineStr">
        <is>
          <t>Data quality</t>
        </is>
      </c>
      <c r="F427" s="8" t="inlineStr">
        <is>
          <t>Public (GET)</t>
        </is>
      </c>
      <c r="G427" s="8" t="inlineStr">
        <is>
          <t>GET /api/reports/:stateCode/:month - Get state's report card</t>
        </is>
      </c>
      <c r="H427" s="8" t="inlineStr">
        <is>
          <t>backend_proxy_server.js</t>
        </is>
      </c>
      <c r="I427" s="8" t="n">
        <v>16991</v>
      </c>
    </row>
    <row r="428">
      <c r="A428" s="5" t="n">
        <v>427</v>
      </c>
      <c r="B428" s="6" t="inlineStr">
        <is>
          <t>GET</t>
        </is>
      </c>
      <c r="C428" s="7" t="inlineStr">
        <is>
          <t>/api/reports/contact/:stateCode</t>
        </is>
      </c>
      <c r="D428" s="5" t="inlineStr">
        <is>
          <t>reports</t>
        </is>
      </c>
      <c r="E428" s="5" t="inlineStr">
        <is>
          <t>Data quality</t>
        </is>
      </c>
      <c r="F428" s="5" t="inlineStr">
        <is>
          <t>Public (GET)</t>
        </is>
      </c>
      <c r="G428" s="5" t="inlineStr">
        <is>
          <t>GET /api/reports/contact/:stateCode - Get state contact info</t>
        </is>
      </c>
      <c r="H428" s="5" t="inlineStr">
        <is>
          <t>backend_proxy_server.js</t>
        </is>
      </c>
      <c r="I428" s="5" t="n">
        <v>17150</v>
      </c>
    </row>
    <row r="429">
      <c r="A429" s="8" t="n">
        <v>428</v>
      </c>
      <c r="B429" s="14" t="inlineStr">
        <is>
          <t>PUT</t>
        </is>
      </c>
      <c r="C429" s="10" t="inlineStr">
        <is>
          <t>/api/reports/contact/:stateCode</t>
        </is>
      </c>
      <c r="D429" s="8" t="inlineStr">
        <is>
          <t>reports</t>
        </is>
      </c>
      <c r="E429" s="8" t="inlineStr">
        <is>
          <t>Data quality</t>
        </is>
      </c>
      <c r="F429" s="8" t="inlineStr">
        <is>
          <t>Write - check handler</t>
        </is>
      </c>
      <c r="G429" s="8" t="inlineStr">
        <is>
          <t>PUT /api/reports/contact/:stateCode - Update state contact info</t>
        </is>
      </c>
      <c r="H429" s="8" t="inlineStr">
        <is>
          <t>backend_proxy_server.js</t>
        </is>
      </c>
      <c r="I429" s="8" t="n">
        <v>17184</v>
      </c>
    </row>
    <row r="430">
      <c r="A430" s="5" t="n">
        <v>429</v>
      </c>
      <c r="B430" s="11" t="inlineStr">
        <is>
          <t>POST</t>
        </is>
      </c>
      <c r="C430" s="7" t="inlineStr">
        <is>
          <t>/api/reports/generate/:month</t>
        </is>
      </c>
      <c r="D430" s="5" t="inlineStr">
        <is>
          <t>reports</t>
        </is>
      </c>
      <c r="E430" s="5" t="inlineStr">
        <is>
          <t>Data quality</t>
        </is>
      </c>
      <c r="F430" s="5" t="inlineStr">
        <is>
          <t>Write - check handler</t>
        </is>
      </c>
      <c r="G430" s="5" t="inlineStr">
        <is>
          <t>POST /api/reports/generate/:month - Generate monthly reports (admin only)</t>
        </is>
      </c>
      <c r="H430" s="5" t="inlineStr">
        <is>
          <t>backend_proxy_server.js</t>
        </is>
      </c>
      <c r="I430" s="5" t="n">
        <v>16950</v>
      </c>
    </row>
    <row r="431">
      <c r="A431" s="8" t="n">
        <v>430</v>
      </c>
      <c r="B431" s="12" t="inlineStr">
        <is>
          <t>GET</t>
        </is>
      </c>
      <c r="C431" s="10" t="inlineStr">
        <is>
          <t>/api/reports/history/:stateCode</t>
        </is>
      </c>
      <c r="D431" s="8" t="inlineStr">
        <is>
          <t>reports</t>
        </is>
      </c>
      <c r="E431" s="8" t="inlineStr">
        <is>
          <t>Data quality</t>
        </is>
      </c>
      <c r="F431" s="8" t="inlineStr">
        <is>
          <t>Public (GET)</t>
        </is>
      </c>
      <c r="G431" s="8" t="inlineStr">
        <is>
          <t>GET /api/reports/history/:stateCode - Get report history for state</t>
        </is>
      </c>
      <c r="H431" s="8" t="inlineStr">
        <is>
          <t>backend_proxy_server.js</t>
        </is>
      </c>
      <c r="I431" s="8" t="n">
        <v>17231</v>
      </c>
    </row>
    <row r="432">
      <c r="A432" s="5" t="n">
        <v>431</v>
      </c>
      <c r="B432" s="6" t="inlineStr">
        <is>
          <t>GET</t>
        </is>
      </c>
      <c r="C432" s="7" t="inlineStr">
        <is>
          <t>/api/reports/rankings/:month</t>
        </is>
      </c>
      <c r="D432" s="5" t="inlineStr">
        <is>
          <t>reports</t>
        </is>
      </c>
      <c r="E432" s="5" t="inlineStr">
        <is>
          <t>Data quality</t>
        </is>
      </c>
      <c r="F432" s="5" t="inlineStr">
        <is>
          <t>Public (GET)</t>
        </is>
      </c>
      <c r="G432" s="5" t="inlineStr">
        <is>
          <t>GET /api/reports/rankings/:month - Get national rankings</t>
        </is>
      </c>
      <c r="H432" s="5" t="inlineStr">
        <is>
          <t>backend_proxy_server.js</t>
        </is>
      </c>
      <c r="I432" s="5" t="n">
        <v>17027</v>
      </c>
    </row>
    <row r="433">
      <c r="A433" s="8" t="n">
        <v>432</v>
      </c>
      <c r="B433" s="9" t="inlineStr">
        <is>
          <t>POST</t>
        </is>
      </c>
      <c r="C433" s="10" t="inlineStr">
        <is>
          <t>/api/reports/send-all</t>
        </is>
      </c>
      <c r="D433" s="8" t="inlineStr">
        <is>
          <t>reports</t>
        </is>
      </c>
      <c r="E433" s="8" t="inlineStr">
        <is>
          <t>Data quality</t>
        </is>
      </c>
      <c r="F433" s="8" t="inlineStr">
        <is>
          <t>Write - check handler</t>
        </is>
      </c>
      <c r="G433" s="8" t="inlineStr">
        <is>
          <t>POST /api/reports/send-all - Send reports to all enabled states</t>
        </is>
      </c>
      <c r="H433" s="8" t="inlineStr">
        <is>
          <t>backend_proxy_server.js</t>
        </is>
      </c>
      <c r="I433" s="8" t="n">
        <v>17117</v>
      </c>
    </row>
    <row r="434">
      <c r="A434" s="5" t="n">
        <v>433</v>
      </c>
      <c r="B434" s="11" t="inlineStr">
        <is>
          <t>POST</t>
        </is>
      </c>
      <c r="C434" s="7" t="inlineStr">
        <is>
          <t>/api/reports/send/:stateCode</t>
        </is>
      </c>
      <c r="D434" s="5" t="inlineStr">
        <is>
          <t>reports</t>
        </is>
      </c>
      <c r="E434" s="5" t="inlineStr">
        <is>
          <t>Data quality</t>
        </is>
      </c>
      <c r="F434" s="5" t="inlineStr">
        <is>
          <t>Write - check handler</t>
        </is>
      </c>
      <c r="G434" s="5" t="inlineStr">
        <is>
          <t>POST /api/reports/send/:stateCode - Send report email to state</t>
        </is>
      </c>
      <c r="H434" s="5" t="inlineStr">
        <is>
          <t>backend_proxy_server.js</t>
        </is>
      </c>
      <c r="I434" s="5" t="n">
        <v>17085</v>
      </c>
    </row>
    <row r="435">
      <c r="A435" s="8" t="n">
        <v>434</v>
      </c>
      <c r="B435" s="12" t="inlineStr">
        <is>
          <t>GET</t>
        </is>
      </c>
      <c r="C435" s="10" t="inlineStr">
        <is>
          <t>/api/scheduler/status</t>
        </is>
      </c>
      <c r="D435" s="8" t="inlineStr">
        <is>
          <t>scheduler</t>
        </is>
      </c>
      <c r="E435" s="8" t="inlineStr">
        <is>
          <t>Platform</t>
        </is>
      </c>
      <c r="F435" s="8" t="inlineStr">
        <is>
          <t>Public (GET)</t>
        </is>
      </c>
      <c r="G435" s="8" t="inlineStr">
        <is>
          <t>GET /api/scheduler/status - Get scheduler status</t>
        </is>
      </c>
      <c r="H435" s="8" t="inlineStr">
        <is>
          <t>backend_proxy_server.js</t>
        </is>
      </c>
      <c r="I435" s="8" t="n">
        <v>17505</v>
      </c>
    </row>
    <row r="436">
      <c r="A436" s="5" t="n">
        <v>435</v>
      </c>
      <c r="B436" s="11" t="inlineStr">
        <is>
          <t>POST</t>
        </is>
      </c>
      <c r="C436" s="7" t="inlineStr">
        <is>
          <t>/api/scheduler/trigger/:jobName</t>
        </is>
      </c>
      <c r="D436" s="5" t="inlineStr">
        <is>
          <t>scheduler</t>
        </is>
      </c>
      <c r="E436" s="5" t="inlineStr">
        <is>
          <t>Platform</t>
        </is>
      </c>
      <c r="F436" s="5" t="inlineStr">
        <is>
          <t>Write - check handler</t>
        </is>
      </c>
      <c r="G436" s="5" t="inlineStr">
        <is>
          <t>POST /api/scheduler/trigger/:jobName - Manually trigger a job</t>
        </is>
      </c>
      <c r="H436" s="5" t="inlineStr">
        <is>
          <t>backend_proxy_server.js</t>
        </is>
      </c>
      <c r="I436" s="5" t="n">
        <v>17531</v>
      </c>
    </row>
    <row r="437">
      <c r="A437" s="8" t="n">
        <v>436</v>
      </c>
      <c r="B437" s="12" t="inlineStr">
        <is>
          <t>GET</t>
        </is>
      </c>
      <c r="C437" s="10" t="inlineStr">
        <is>
          <t>/api/state-osow-regulations</t>
        </is>
      </c>
      <c r="D437" s="8" t="inlineStr">
        <is>
          <t>state-osow-regulations</t>
        </is>
      </c>
      <c r="E437" s="8" t="inlineStr">
        <is>
          <t>Freight &amp; clearance</t>
        </is>
      </c>
      <c r="F437" s="8" t="inlineStr">
        <is>
          <t>Public (GET)</t>
        </is>
      </c>
      <c r="G437" s="8" t="inlineStr">
        <is>
          <t>Get all state OS/OW regulations</t>
        </is>
      </c>
      <c r="H437" s="8" t="inlineStr">
        <is>
          <t>backend_proxy_server.js</t>
        </is>
      </c>
      <c r="I437" s="8" t="n">
        <v>19451</v>
      </c>
    </row>
    <row r="438">
      <c r="A438" s="5" t="n">
        <v>437</v>
      </c>
      <c r="B438" s="6" t="inlineStr">
        <is>
          <t>GET</t>
        </is>
      </c>
      <c r="C438" s="7" t="inlineStr">
        <is>
          <t>/api/state-osow-regulations/:stateKey</t>
        </is>
      </c>
      <c r="D438" s="5" t="inlineStr">
        <is>
          <t>state-osow-regulations</t>
        </is>
      </c>
      <c r="E438" s="5" t="inlineStr">
        <is>
          <t>Freight &amp; clearance</t>
        </is>
      </c>
      <c r="F438" s="5" t="inlineStr">
        <is>
          <t>Public (GET)</t>
        </is>
      </c>
      <c r="G438" s="5" t="inlineStr">
        <is>
          <t>Get specific state OS/OW regulation</t>
        </is>
      </c>
      <c r="H438" s="5" t="inlineStr">
        <is>
          <t>backend_proxy_server.js</t>
        </is>
      </c>
      <c r="I438" s="5" t="n">
        <v>19516</v>
      </c>
    </row>
    <row r="439">
      <c r="A439" s="8" t="n">
        <v>438</v>
      </c>
      <c r="B439" s="14" t="inlineStr">
        <is>
          <t>PUT</t>
        </is>
      </c>
      <c r="C439" s="10" t="inlineStr">
        <is>
          <t>/api/state-osow-regulations/:stateKey</t>
        </is>
      </c>
      <c r="D439" s="8" t="inlineStr">
        <is>
          <t>state-osow-regulations</t>
        </is>
      </c>
      <c r="E439" s="8" t="inlineStr">
        <is>
          <t>Freight &amp; clearance</t>
        </is>
      </c>
      <c r="F439" s="8" t="inlineStr">
        <is>
          <t>Write - check handler</t>
        </is>
      </c>
      <c r="G439" s="8" t="inlineStr">
        <is>
          <t>Update state OS/OW regulation</t>
        </is>
      </c>
      <c r="H439" s="8" t="inlineStr">
        <is>
          <t>backend_proxy_server.js</t>
        </is>
      </c>
      <c r="I439" s="8" t="n">
        <v>19576</v>
      </c>
    </row>
    <row r="440">
      <c r="A440" s="5" t="n">
        <v>439</v>
      </c>
      <c r="B440" s="6" t="inlineStr">
        <is>
          <t>GET</t>
        </is>
      </c>
      <c r="C440" s="7" t="inlineStr">
        <is>
          <t>/api/states/inbox</t>
        </is>
      </c>
      <c r="D440" s="5" t="inlineStr">
        <is>
          <t>states</t>
        </is>
      </c>
      <c r="E440" s="5" t="inlineStr">
        <is>
          <t>Platform</t>
        </is>
      </c>
      <c r="F440" s="5" t="inlineStr">
        <is>
          <t>Authenticated</t>
        </is>
      </c>
      <c r="G440" s="5" t="inlineStr">
        <is>
          <t>Get inbox (messages to this state)</t>
        </is>
      </c>
      <c r="H440" s="5" t="inlineStr">
        <is>
          <t>backend_proxy_server.js</t>
        </is>
      </c>
      <c r="I440" s="5" t="n">
        <v>11441</v>
      </c>
    </row>
    <row r="441">
      <c r="A441" s="8" t="n">
        <v>440</v>
      </c>
      <c r="B441" s="12" t="inlineStr">
        <is>
          <t>GET</t>
        </is>
      </c>
      <c r="C441" s="10" t="inlineStr">
        <is>
          <t>/api/states/list</t>
        </is>
      </c>
      <c r="D441" s="8" t="inlineStr">
        <is>
          <t>states</t>
        </is>
      </c>
      <c r="E441" s="8" t="inlineStr">
        <is>
          <t>Platform</t>
        </is>
      </c>
      <c r="F441" s="8" t="inlineStr">
        <is>
          <t>Authenticated</t>
        </is>
      </c>
      <c r="G441" s="8" t="inlineStr">
        <is>
          <t>Get list of states available for messaging</t>
        </is>
      </c>
      <c r="H441" s="8" t="inlineStr">
        <is>
          <t>backend_proxy_server.js</t>
        </is>
      </c>
      <c r="I441" s="8" t="n">
        <v>17766</v>
      </c>
    </row>
    <row r="442">
      <c r="A442" s="5" t="n">
        <v>441</v>
      </c>
      <c r="B442" s="11" t="inlineStr">
        <is>
          <t>POST</t>
        </is>
      </c>
      <c r="C442" s="7" t="inlineStr">
        <is>
          <t>/api/states/login</t>
        </is>
      </c>
      <c r="D442" s="5" t="inlineStr">
        <is>
          <t>states</t>
        </is>
      </c>
      <c r="E442" s="5" t="inlineStr">
        <is>
          <t>Platform</t>
        </is>
      </c>
      <c r="F442" s="5" t="inlineStr">
        <is>
          <t>Authenticated</t>
        </is>
      </c>
      <c r="G442" s="5" t="inlineStr">
        <is>
          <t>State login (verify credentials)</t>
        </is>
      </c>
      <c r="H442" s="5" t="inlineStr">
        <is>
          <t>backend_proxy_server.js</t>
        </is>
      </c>
      <c r="I442" s="5" t="n">
        <v>11380</v>
      </c>
    </row>
    <row r="443">
      <c r="A443" s="8" t="n">
        <v>442</v>
      </c>
      <c r="B443" s="9" t="inlineStr">
        <is>
          <t>POST</t>
        </is>
      </c>
      <c r="C443" s="10" t="inlineStr">
        <is>
          <t>/api/states/messages</t>
        </is>
      </c>
      <c r="D443" s="8" t="inlineStr">
        <is>
          <t>states</t>
        </is>
      </c>
      <c r="E443" s="8" t="inlineStr">
        <is>
          <t>Platform</t>
        </is>
      </c>
      <c r="F443" s="8" t="inlineStr">
        <is>
          <t>Authenticated</t>
        </is>
      </c>
      <c r="G443" s="8" t="inlineStr">
        <is>
          <t>Send direct message (state to state)</t>
        </is>
      </c>
      <c r="H443" s="8" t="inlineStr">
        <is>
          <t>backend_proxy_server.js</t>
        </is>
      </c>
      <c r="I443" s="8" t="n">
        <v>11405</v>
      </c>
    </row>
    <row r="444">
      <c r="A444" s="5" t="n">
        <v>443</v>
      </c>
      <c r="B444" s="13" t="inlineStr">
        <is>
          <t>DELETE</t>
        </is>
      </c>
      <c r="C444" s="7" t="inlineStr">
        <is>
          <t>/api/states/messages/:id</t>
        </is>
      </c>
      <c r="D444" s="5" t="inlineStr">
        <is>
          <t>states</t>
        </is>
      </c>
      <c r="E444" s="5" t="inlineStr">
        <is>
          <t>Platform</t>
        </is>
      </c>
      <c r="F444" s="5" t="inlineStr">
        <is>
          <t>Authenticated</t>
        </is>
      </c>
      <c r="G444" s="5" t="inlineStr">
        <is>
          <t>Delete a state message (only the sender can delete)</t>
        </is>
      </c>
      <c r="H444" s="5" t="inlineStr">
        <is>
          <t>backend_proxy_server.js</t>
        </is>
      </c>
      <c r="I444" s="5" t="n">
        <v>11500</v>
      </c>
    </row>
    <row r="445">
      <c r="A445" s="8" t="n">
        <v>444</v>
      </c>
      <c r="B445" s="9" t="inlineStr">
        <is>
          <t>POST</t>
        </is>
      </c>
      <c r="C445" s="10" t="inlineStr">
        <is>
          <t>/api/states/messages/:id/read</t>
        </is>
      </c>
      <c r="D445" s="8" t="inlineStr">
        <is>
          <t>states</t>
        </is>
      </c>
      <c r="E445" s="8" t="inlineStr">
        <is>
          <t>Platform</t>
        </is>
      </c>
      <c r="F445" s="8" t="inlineStr">
        <is>
          <t>Authenticated</t>
        </is>
      </c>
      <c r="G445" s="8" t="inlineStr">
        <is>
          <t>Mark message as read</t>
        </is>
      </c>
      <c r="H445" s="8" t="inlineStr">
        <is>
          <t>backend_proxy_server.js</t>
        </is>
      </c>
      <c r="I445" s="8" t="n">
        <v>11489</v>
      </c>
    </row>
    <row r="446">
      <c r="A446" s="5" t="n">
        <v>445</v>
      </c>
      <c r="B446" s="13" t="inlineStr">
        <is>
          <t>DELETE</t>
        </is>
      </c>
      <c r="C446" s="7" t="inlineStr">
        <is>
          <t>/api/states/messages/bulk/detour-advisories</t>
        </is>
      </c>
      <c r="D446" s="5" t="inlineStr">
        <is>
          <t>states</t>
        </is>
      </c>
      <c r="E446" s="5" t="inlineStr">
        <is>
          <t>Platform</t>
        </is>
      </c>
      <c r="F446" s="5" t="inlineStr">
        <is>
          <t>Authenticated</t>
        </is>
      </c>
      <c r="G446" s="5" t="inlineStr">
        <is>
          <t>Bulk delete detour advisory messages</t>
        </is>
      </c>
      <c r="H446" s="5" t="inlineStr">
        <is>
          <t>backend_proxy_server.js</t>
        </is>
      </c>
      <c r="I446" s="5" t="n">
        <v>11511</v>
      </c>
    </row>
    <row r="447">
      <c r="A447" s="8" t="n">
        <v>446</v>
      </c>
      <c r="B447" s="9" t="inlineStr">
        <is>
          <t>POST</t>
        </is>
      </c>
      <c r="C447" s="10" t="inlineStr">
        <is>
          <t>/api/states/password</t>
        </is>
      </c>
      <c r="D447" s="8" t="inlineStr">
        <is>
          <t>states</t>
        </is>
      </c>
      <c r="E447" s="8" t="inlineStr">
        <is>
          <t>Platform</t>
        </is>
      </c>
      <c r="F447" s="8" t="inlineStr">
        <is>
          <t>requireAdmin</t>
        </is>
      </c>
      <c r="G447" s="8" t="inlineStr">
        <is>
          <t>Set/update state password (admin only)</t>
        </is>
      </c>
      <c r="H447" s="8" t="inlineStr">
        <is>
          <t>backend_proxy_server.js</t>
        </is>
      </c>
      <c r="I447" s="8" t="n">
        <v>11354</v>
      </c>
    </row>
    <row r="448">
      <c r="A448" s="5" t="n">
        <v>447</v>
      </c>
      <c r="B448" s="6" t="inlineStr">
        <is>
          <t>GET</t>
        </is>
      </c>
      <c r="C448" s="7" t="inlineStr">
        <is>
          <t>/api/states/sent</t>
        </is>
      </c>
      <c r="D448" s="5" t="inlineStr">
        <is>
          <t>states</t>
        </is>
      </c>
      <c r="E448" s="5" t="inlineStr">
        <is>
          <t>Platform</t>
        </is>
      </c>
      <c r="F448" s="5" t="inlineStr">
        <is>
          <t>Authenticated</t>
        </is>
      </c>
      <c r="G448" s="5" t="inlineStr">
        <is>
          <t>Get sent messages (from this state)</t>
        </is>
      </c>
      <c r="H448" s="5" t="inlineStr">
        <is>
          <t>backend_proxy_server.js</t>
        </is>
      </c>
      <c r="I448" s="5" t="n">
        <v>11455</v>
      </c>
    </row>
    <row r="449">
      <c r="A449" s="8" t="n">
        <v>448</v>
      </c>
      <c r="B449" s="12" t="inlineStr">
        <is>
          <t>GET</t>
        </is>
      </c>
      <c r="C449" s="10" t="inlineStr">
        <is>
          <t>/api/tomtom/deviation</t>
        </is>
      </c>
      <c r="D449" s="8" t="inlineStr">
        <is>
          <t>tomtom</t>
        </is>
      </c>
      <c r="E449" s="8" t="inlineStr">
        <is>
          <t>Validation</t>
        </is>
      </c>
      <c r="F449" s="8" t="inlineStr">
        <is>
          <t>Public (GET)</t>
        </is>
      </c>
      <c r="G449" s="8" t="inlineStr">
        <is>
          <t>Deviation scorecard (Phase 2): match DOT work zones vs TomTom incidents → matched / DOT-only (not reaching drivers) / TomTom-only (unreported by DOT) / timing gaps + coverage %. Read-only: uses already-cached DOT events + TomTom incidents (no API calls).</t>
        </is>
      </c>
      <c r="H449" s="8" t="inlineStr">
        <is>
          <t>backend_proxy_server.js</t>
        </is>
      </c>
      <c r="I449" s="8" t="n">
        <v>5142</v>
      </c>
    </row>
    <row r="450">
      <c r="A450" s="5" t="n">
        <v>449</v>
      </c>
      <c r="B450" s="6" t="inlineStr">
        <is>
          <t>GET</t>
        </is>
      </c>
      <c r="C450" s="7" t="inlineStr">
        <is>
          <t>/api/tomtom/incidents</t>
        </is>
      </c>
      <c r="D450" s="5" t="inlineStr">
        <is>
          <t>tomtom</t>
        </is>
      </c>
      <c r="E450" s="5" t="inlineStr">
        <is>
          <t>Validation</t>
        </is>
      </c>
      <c r="F450" s="5" t="inlineStr">
        <is>
          <t>Public (GET)</t>
        </is>
      </c>
      <c r="G450" s="5" t="inlineStr"/>
      <c r="H450" s="5" t="inlineStr">
        <is>
          <t>backend_proxy_server.js</t>
        </is>
      </c>
      <c r="I450" s="5" t="n">
        <v>5039</v>
      </c>
    </row>
    <row r="451">
      <c r="A451" s="8" t="n">
        <v>450</v>
      </c>
      <c r="B451" s="12" t="inlineStr">
        <is>
          <t>GET</t>
        </is>
      </c>
      <c r="C451" s="10" t="inlineStr">
        <is>
          <t>/api/tomtom/status</t>
        </is>
      </c>
      <c r="D451" s="8" t="inlineStr">
        <is>
          <t>tomtom</t>
        </is>
      </c>
      <c r="E451" s="8" t="inlineStr">
        <is>
          <t>Validation</t>
        </is>
      </c>
      <c r="F451" s="8" t="inlineStr">
        <is>
          <t>Public (GET)</t>
        </is>
      </c>
      <c r="G451" s="8" t="inlineStr"/>
      <c r="H451" s="8" t="inlineStr">
        <is>
          <t>backend_proxy_server.js</t>
        </is>
      </c>
      <c r="I451" s="8" t="n">
        <v>5070</v>
      </c>
    </row>
    <row r="452">
      <c r="A452" s="5" t="n">
        <v>451</v>
      </c>
      <c r="B452" s="6" t="inlineStr">
        <is>
          <t>GET</t>
        </is>
      </c>
      <c r="C452" s="7" t="inlineStr">
        <is>
          <t>/api/tomtom/verify-now</t>
        </is>
      </c>
      <c r="D452" s="5" t="inlineStr">
        <is>
          <t>tomtom</t>
        </is>
      </c>
      <c r="E452" s="5" t="inlineStr">
        <is>
          <t>Validation</t>
        </is>
      </c>
      <c r="F452" s="5" t="inlineStr">
        <is>
          <t>Public (GET)</t>
        </is>
      </c>
      <c r="G452" s="5" t="inlineStr"/>
      <c r="H452" s="5" t="inlineStr">
        <is>
          <t>backend_proxy_server.js</t>
        </is>
      </c>
      <c r="I452" s="5" t="n">
        <v>5105</v>
      </c>
    </row>
    <row r="453">
      <c r="A453" s="8" t="n">
        <v>452</v>
      </c>
      <c r="B453" s="12" t="inlineStr">
        <is>
          <t>GET</t>
        </is>
      </c>
      <c r="C453" s="10" t="inlineStr">
        <is>
          <t>/api/traveler/corridors</t>
        </is>
      </c>
      <c r="D453" s="8" t="inlineStr">
        <is>
          <t>traveler</t>
        </is>
      </c>
      <c r="E453" s="8" t="inlineStr">
        <is>
          <t>Traveler info</t>
        </is>
      </c>
      <c r="F453" s="8" t="inlineStr">
        <is>
          <t>Public (GET)</t>
        </is>
      </c>
      <c r="G453" s="8" t="inlineStr">
        <is>
          <t>GET /api/traveler/corridors - Get corridor information</t>
        </is>
      </c>
      <c r="H453" s="8" t="inlineStr">
        <is>
          <t>backend_proxy_server.js</t>
        </is>
      </c>
      <c r="I453" s="8" t="n">
        <v>12605</v>
      </c>
    </row>
    <row r="454">
      <c r="A454" s="5" t="n">
        <v>453</v>
      </c>
      <c r="B454" s="6" t="inlineStr">
        <is>
          <t>GET</t>
        </is>
      </c>
      <c r="C454" s="7" t="inlineStr">
        <is>
          <t>/api/traveler/events</t>
        </is>
      </c>
      <c r="D454" s="5" t="inlineStr">
        <is>
          <t>traveler</t>
        </is>
      </c>
      <c r="E454" s="5" t="inlineStr">
        <is>
          <t>Traveler info</t>
        </is>
      </c>
      <c r="F454" s="5" t="inlineStr">
        <is>
          <t>Public (GET)</t>
        </is>
      </c>
      <c r="G454" s="5" t="inlineStr">
        <is>
          <t>GET /api/traveler/events - Get real-time events</t>
        </is>
      </c>
      <c r="H454" s="5" t="inlineStr">
        <is>
          <t>backend_proxy_server.js</t>
        </is>
      </c>
      <c r="I454" s="5" t="n">
        <v>12496</v>
      </c>
    </row>
    <row r="455">
      <c r="A455" s="8" t="n">
        <v>454</v>
      </c>
      <c r="B455" s="12" t="inlineStr">
        <is>
          <t>GET</t>
        </is>
      </c>
      <c r="C455" s="10" t="inlineStr">
        <is>
          <t>/api/traveler/status</t>
        </is>
      </c>
      <c r="D455" s="8" t="inlineStr">
        <is>
          <t>traveler</t>
        </is>
      </c>
      <c r="E455" s="8" t="inlineStr">
        <is>
          <t>Traveler info</t>
        </is>
      </c>
      <c r="F455" s="8" t="inlineStr">
        <is>
          <t>Public (GET)</t>
        </is>
      </c>
      <c r="G455" s="8" t="inlineStr">
        <is>
          <t>GET /api/traveler/status - API status and rate limit info</t>
        </is>
      </c>
      <c r="H455" s="8" t="inlineStr">
        <is>
          <t>backend_proxy_server.js</t>
        </is>
      </c>
      <c r="I455" s="8" t="n">
        <v>12670</v>
      </c>
    </row>
    <row r="456">
      <c r="A456" s="5" t="n">
        <v>455</v>
      </c>
      <c r="B456" s="6" t="inlineStr">
        <is>
          <t>GET</t>
        </is>
      </c>
      <c r="C456" s="7" t="inlineStr">
        <is>
          <t>/api/truck-parking/predictions</t>
        </is>
      </c>
      <c r="D456" s="5" t="inlineStr">
        <is>
          <t>truck-parking</t>
        </is>
      </c>
      <c r="E456" s="5" t="inlineStr">
        <is>
          <t>Truck parking</t>
        </is>
      </c>
      <c r="F456" s="5" t="inlineStr">
        <is>
          <t>Public (GET)</t>
        </is>
      </c>
      <c r="G456" s="5">
        <f>=================== TRUCK PARKING PREDICTIONS ====================</f>
        <v/>
      </c>
      <c r="H456" s="5" t="inlineStr">
        <is>
          <t>backend_proxy_server.js</t>
        </is>
      </c>
      <c r="I456" s="5" t="n">
        <v>18222</v>
      </c>
    </row>
    <row r="457">
      <c r="A457" s="8" t="n">
        <v>456</v>
      </c>
      <c r="B457" s="9" t="inlineStr">
        <is>
          <t>POST</t>
        </is>
      </c>
      <c r="C457" s="10" t="inlineStr">
        <is>
          <t>/api/ttri/aggregate-monthly</t>
        </is>
      </c>
      <c r="D457" s="8" t="inlineStr">
        <is>
          <t>ttri</t>
        </is>
      </c>
      <c r="E457" s="8" t="inlineStr">
        <is>
          <t>Corridor ops</t>
        </is>
      </c>
      <c r="F457" s="8" t="inlineStr">
        <is>
          <t>Write - check handler</t>
        </is>
      </c>
      <c r="G457" s="8" t="inlineStr">
        <is>
          <t>Aggregate monthly TTRI (admin only)</t>
        </is>
      </c>
      <c r="H457" s="8" t="inlineStr">
        <is>
          <t>backend_proxy_server.js</t>
        </is>
      </c>
      <c r="I457" s="8" t="n">
        <v>13218</v>
      </c>
    </row>
    <row r="458">
      <c r="A458" s="5" t="n">
        <v>457</v>
      </c>
      <c r="B458" s="11" t="inlineStr">
        <is>
          <t>POST</t>
        </is>
      </c>
      <c r="C458" s="7" t="inlineStr">
        <is>
          <t>/api/ttri/calculate</t>
        </is>
      </c>
      <c r="D458" s="5" t="inlineStr">
        <is>
          <t>ttri</t>
        </is>
      </c>
      <c r="E458" s="5" t="inlineStr">
        <is>
          <t>Corridor ops</t>
        </is>
      </c>
      <c r="F458" s="5" t="inlineStr">
        <is>
          <t>Write - check handler</t>
        </is>
      </c>
      <c r="G458" s="5" t="inlineStr">
        <is>
          <t>Calculate TTRI for a specific month</t>
        </is>
      </c>
      <c r="H458" s="5" t="inlineStr">
        <is>
          <t>backend_proxy_server.js</t>
        </is>
      </c>
      <c r="I458" s="5" t="n">
        <v>13169</v>
      </c>
    </row>
    <row r="459">
      <c r="A459" s="8" t="n">
        <v>458</v>
      </c>
      <c r="B459" s="12" t="inlineStr">
        <is>
          <t>GET</t>
        </is>
      </c>
      <c r="C459" s="10" t="inlineStr">
        <is>
          <t>/api/ttri/corridor/:corridor</t>
        </is>
      </c>
      <c r="D459" s="8" t="inlineStr">
        <is>
          <t>ttri</t>
        </is>
      </c>
      <c r="E459" s="8" t="inlineStr">
        <is>
          <t>Corridor ops</t>
        </is>
      </c>
      <c r="F459" s="8" t="inlineStr">
        <is>
          <t>Public (GET)</t>
        </is>
      </c>
      <c r="G459" s="8" t="inlineStr">
        <is>
          <t>Get TTRI metrics for a corridor</t>
        </is>
      </c>
      <c r="H459" s="8" t="inlineStr">
        <is>
          <t>backend_proxy_server.js</t>
        </is>
      </c>
      <c r="I459" s="8" t="n">
        <v>13085</v>
      </c>
    </row>
    <row r="460">
      <c r="A460" s="5" t="n">
        <v>459</v>
      </c>
      <c r="B460" s="6" t="inlineStr">
        <is>
          <t>GET</t>
        </is>
      </c>
      <c r="C460" s="7" t="inlineStr">
        <is>
          <t>/api/ttri/corridors</t>
        </is>
      </c>
      <c r="D460" s="5" t="inlineStr">
        <is>
          <t>ttri</t>
        </is>
      </c>
      <c r="E460" s="5" t="inlineStr">
        <is>
          <t>Corridor ops</t>
        </is>
      </c>
      <c r="F460" s="5" t="inlineStr">
        <is>
          <t>Public (GET)</t>
        </is>
      </c>
      <c r="G460" s="5" t="inlineStr">
        <is>
          <t>Get all corridors with TTRI data</t>
        </is>
      </c>
      <c r="H460" s="5" t="inlineStr">
        <is>
          <t>backend_proxy_server.js</t>
        </is>
      </c>
      <c r="I460" s="5" t="n">
        <v>13131</v>
      </c>
    </row>
    <row r="461">
      <c r="A461" s="8" t="n">
        <v>460</v>
      </c>
      <c r="B461" s="12" t="inlineStr">
        <is>
          <t>GET</t>
        </is>
      </c>
      <c r="C461" s="10" t="inlineStr">
        <is>
          <t>/api/ttri/observations</t>
        </is>
      </c>
      <c r="D461" s="8" t="inlineStr">
        <is>
          <t>ttri</t>
        </is>
      </c>
      <c r="E461" s="8" t="inlineStr">
        <is>
          <t>Corridor ops</t>
        </is>
      </c>
      <c r="F461" s="8" t="inlineStr">
        <is>
          <t>Public (GET)</t>
        </is>
      </c>
      <c r="G461" s="8" t="inlineStr">
        <is>
          <t>Get travel time observations</t>
        </is>
      </c>
      <c r="H461" s="8" t="inlineStr">
        <is>
          <t>backend_proxy_server.js</t>
        </is>
      </c>
      <c r="I461" s="8" t="n">
        <v>13244</v>
      </c>
    </row>
    <row r="462">
      <c r="A462" s="5" t="n">
        <v>461</v>
      </c>
      <c r="B462" s="11" t="inlineStr">
        <is>
          <t>POST</t>
        </is>
      </c>
      <c r="C462" s="7" t="inlineStr">
        <is>
          <t>/api/users/change-password</t>
        </is>
      </c>
      <c r="D462" s="5" t="inlineStr">
        <is>
          <t>users</t>
        </is>
      </c>
      <c r="E462" s="5" t="inlineStr">
        <is>
          <t>Platform</t>
        </is>
      </c>
      <c r="F462" s="5" t="inlineStr">
        <is>
          <t>Authenticated</t>
        </is>
      </c>
      <c r="G462" s="5" t="inlineStr">
        <is>
          <t>Legacy endpoint - redirect to new endpoint</t>
        </is>
      </c>
      <c r="H462" s="5" t="inlineStr">
        <is>
          <t>backend_proxy_server.js</t>
        </is>
      </c>
      <c r="I462" s="5" t="n">
        <v>7599</v>
      </c>
    </row>
    <row r="463">
      <c r="A463" s="8" t="n">
        <v>462</v>
      </c>
      <c r="B463" s="9" t="inlineStr">
        <is>
          <t>POST</t>
        </is>
      </c>
      <c r="C463" s="10" t="inlineStr">
        <is>
          <t>/api/users/login</t>
        </is>
      </c>
      <c r="D463" s="8" t="inlineStr">
        <is>
          <t>users</t>
        </is>
      </c>
      <c r="E463" s="8" t="inlineStr">
        <is>
          <t>Platform</t>
        </is>
      </c>
      <c r="F463" s="8" t="inlineStr">
        <is>
          <t>Authenticated</t>
        </is>
      </c>
      <c r="G463" s="8" t="inlineStr">
        <is>
          <t>User login</t>
        </is>
      </c>
      <c r="H463" s="8" t="inlineStr">
        <is>
          <t>backend_proxy_server.js</t>
        </is>
      </c>
      <c r="I463" s="8" t="n">
        <v>7401</v>
      </c>
    </row>
    <row r="464">
      <c r="A464" s="5" t="n">
        <v>463</v>
      </c>
      <c r="B464" s="6" t="inlineStr">
        <is>
          <t>GET</t>
        </is>
      </c>
      <c r="C464" s="7" t="inlineStr">
        <is>
          <t>/api/users/me</t>
        </is>
      </c>
      <c r="D464" s="5" t="inlineStr">
        <is>
          <t>users</t>
        </is>
      </c>
      <c r="E464" s="5" t="inlineStr">
        <is>
          <t>Platform</t>
        </is>
      </c>
      <c r="F464" s="5" t="inlineStr">
        <is>
          <t>Authenticated</t>
        </is>
      </c>
      <c r="G464" s="5" t="inlineStr">
        <is>
          <t>Verify token and get current user</t>
        </is>
      </c>
      <c r="H464" s="5" t="inlineStr">
        <is>
          <t>backend_proxy_server.js</t>
        </is>
      </c>
      <c r="I464" s="5" t="n">
        <v>7503</v>
      </c>
    </row>
    <row r="465">
      <c r="A465" s="8" t="n">
        <v>464</v>
      </c>
      <c r="B465" s="14" t="inlineStr">
        <is>
          <t>PUT</t>
        </is>
      </c>
      <c r="C465" s="10" t="inlineStr">
        <is>
          <t>/api/users/notifications</t>
        </is>
      </c>
      <c r="D465" s="8" t="inlineStr">
        <is>
          <t>users</t>
        </is>
      </c>
      <c r="E465" s="8" t="inlineStr">
        <is>
          <t>Platform</t>
        </is>
      </c>
      <c r="F465" s="8" t="inlineStr">
        <is>
          <t>Authenticated</t>
        </is>
      </c>
      <c r="G465" s="8" t="inlineStr">
        <is>
          <t>Update user notification preferences</t>
        </is>
      </c>
      <c r="H465" s="8" t="inlineStr">
        <is>
          <t>backend_proxy_server.js</t>
        </is>
      </c>
      <c r="I465" s="8" t="n">
        <v>7680</v>
      </c>
    </row>
    <row r="466">
      <c r="A466" s="5" t="n">
        <v>465</v>
      </c>
      <c r="B466" s="16" t="inlineStr">
        <is>
          <t>PUT</t>
        </is>
      </c>
      <c r="C466" s="7" t="inlineStr">
        <is>
          <t>/api/users/password</t>
        </is>
      </c>
      <c r="D466" s="5" t="inlineStr">
        <is>
          <t>users</t>
        </is>
      </c>
      <c r="E466" s="5" t="inlineStr">
        <is>
          <t>Platform</t>
        </is>
      </c>
      <c r="F466" s="5" t="inlineStr">
        <is>
          <t>Authenticated</t>
        </is>
      </c>
      <c r="G466" s="5" t="inlineStr">
        <is>
          <t>Change password for current user</t>
        </is>
      </c>
      <c r="H466" s="5" t="inlineStr">
        <is>
          <t>backend_proxy_server.js</t>
        </is>
      </c>
      <c r="I466" s="5" t="n">
        <v>7571</v>
      </c>
    </row>
    <row r="467">
      <c r="A467" s="8" t="n">
        <v>466</v>
      </c>
      <c r="B467" s="14" t="inlineStr">
        <is>
          <t>PUT</t>
        </is>
      </c>
      <c r="C467" s="10" t="inlineStr">
        <is>
          <t>/api/users/profile</t>
        </is>
      </c>
      <c r="D467" s="8" t="inlineStr">
        <is>
          <t>users</t>
        </is>
      </c>
      <c r="E467" s="8" t="inlineStr">
        <is>
          <t>Platform</t>
        </is>
      </c>
      <c r="F467" s="8" t="inlineStr">
        <is>
          <t>Authenticated</t>
        </is>
      </c>
      <c r="G467" s="8" t="inlineStr">
        <is>
          <t>Update user profile</t>
        </is>
      </c>
      <c r="H467" s="8" t="inlineStr">
        <is>
          <t>backend_proxy_server.js</t>
        </is>
      </c>
      <c r="I467" s="8" t="n">
        <v>7531</v>
      </c>
    </row>
    <row r="468">
      <c r="A468" s="5" t="n">
        <v>467</v>
      </c>
      <c r="B468" s="11" t="inlineStr">
        <is>
          <t>POST</t>
        </is>
      </c>
      <c r="C468" s="7" t="inlineStr">
        <is>
          <t>/api/users/register</t>
        </is>
      </c>
      <c r="D468" s="5" t="inlineStr">
        <is>
          <t>users</t>
        </is>
      </c>
      <c r="E468" s="5" t="inlineStr">
        <is>
          <t>Platform</t>
        </is>
      </c>
      <c r="F468" s="5" t="inlineStr">
        <is>
          <t>Authenticated</t>
        </is>
      </c>
      <c r="G468" s="5" t="inlineStr">
        <is>
          <t>User registration</t>
        </is>
      </c>
      <c r="H468" s="5" t="inlineStr">
        <is>
          <t>backend_proxy_server.js</t>
        </is>
      </c>
      <c r="I468" s="5" t="n">
        <v>7331</v>
      </c>
    </row>
    <row r="469">
      <c r="A469" s="8" t="n">
        <v>468</v>
      </c>
      <c r="B469" s="9" t="inlineStr">
        <is>
          <t>POST</t>
        </is>
      </c>
      <c r="C469" s="10" t="inlineStr">
        <is>
          <t>/api/users/request-password-reset</t>
        </is>
      </c>
      <c r="D469" s="8" t="inlineStr">
        <is>
          <t>users</t>
        </is>
      </c>
      <c r="E469" s="8" t="inlineStr">
        <is>
          <t>Platform</t>
        </is>
      </c>
      <c r="F469" s="8" t="inlineStr">
        <is>
          <t>Authenticated</t>
        </is>
      </c>
      <c r="G469" s="8" t="inlineStr">
        <is>
          <t>Request password reset (sends email with reset token)</t>
        </is>
      </c>
      <c r="H469" s="8" t="inlineStr">
        <is>
          <t>backend_proxy_server.js</t>
        </is>
      </c>
      <c r="I469" s="8" t="n">
        <v>7627</v>
      </c>
    </row>
    <row r="470">
      <c r="A470" s="5" t="n">
        <v>469</v>
      </c>
      <c r="B470" s="6" t="inlineStr">
        <is>
          <t>GET</t>
        </is>
      </c>
      <c r="C470" s="7" t="inlineStr">
        <is>
          <t>/api/users/subscriptions</t>
        </is>
      </c>
      <c r="D470" s="5" t="inlineStr">
        <is>
          <t>users</t>
        </is>
      </c>
      <c r="E470" s="5" t="inlineStr">
        <is>
          <t>Platform</t>
        </is>
      </c>
      <c r="F470" s="5" t="inlineStr">
        <is>
          <t>Authenticated</t>
        </is>
      </c>
      <c r="G470" s="5" t="inlineStr">
        <is>
          <t>Get user's state subscriptions</t>
        </is>
      </c>
      <c r="H470" s="5" t="inlineStr">
        <is>
          <t>backend_proxy_server.js</t>
        </is>
      </c>
      <c r="I470" s="5" t="n">
        <v>7705</v>
      </c>
    </row>
    <row r="471">
      <c r="A471" s="8" t="n">
        <v>470</v>
      </c>
      <c r="B471" s="14" t="inlineStr">
        <is>
          <t>PUT</t>
        </is>
      </c>
      <c r="C471" s="10" t="inlineStr">
        <is>
          <t>/api/users/subscriptions</t>
        </is>
      </c>
      <c r="D471" s="8" t="inlineStr">
        <is>
          <t>users</t>
        </is>
      </c>
      <c r="E471" s="8" t="inlineStr">
        <is>
          <t>Platform</t>
        </is>
      </c>
      <c r="F471" s="8" t="inlineStr">
        <is>
          <t>Authenticated</t>
        </is>
      </c>
      <c r="G471" s="8" t="inlineStr">
        <is>
          <t>Set user's state subscriptions (replaces existing)</t>
        </is>
      </c>
      <c r="H471" s="8" t="inlineStr">
        <is>
          <t>backend_proxy_server.js</t>
        </is>
      </c>
      <c r="I471" s="8" t="n">
        <v>7719</v>
      </c>
    </row>
    <row r="472">
      <c r="A472" s="5" t="n">
        <v>471</v>
      </c>
      <c r="B472" s="13" t="inlineStr">
        <is>
          <t>DELETE</t>
        </is>
      </c>
      <c r="C472" s="7" t="inlineStr">
        <is>
          <t>/api/users/subscriptions/:stateKey</t>
        </is>
      </c>
      <c r="D472" s="5" t="inlineStr">
        <is>
          <t>users</t>
        </is>
      </c>
      <c r="E472" s="5" t="inlineStr">
        <is>
          <t>Platform</t>
        </is>
      </c>
      <c r="F472" s="5" t="inlineStr">
        <is>
          <t>Authenticated</t>
        </is>
      </c>
      <c r="G472" s="5" t="inlineStr">
        <is>
          <t>Unsubscribe from a state</t>
        </is>
      </c>
      <c r="H472" s="5" t="inlineStr">
        <is>
          <t>backend_proxy_server.js</t>
        </is>
      </c>
      <c r="I472" s="5" t="n">
        <v>7757</v>
      </c>
    </row>
    <row r="473">
      <c r="A473" s="8" t="n">
        <v>472</v>
      </c>
      <c r="B473" s="9" t="inlineStr">
        <is>
          <t>POST</t>
        </is>
      </c>
      <c r="C473" s="10" t="inlineStr">
        <is>
          <t>/api/users/subscriptions/:stateKey</t>
        </is>
      </c>
      <c r="D473" s="8" t="inlineStr">
        <is>
          <t>users</t>
        </is>
      </c>
      <c r="E473" s="8" t="inlineStr">
        <is>
          <t>Platform</t>
        </is>
      </c>
      <c r="F473" s="8" t="inlineStr">
        <is>
          <t>Authenticated</t>
        </is>
      </c>
      <c r="G473" s="8" t="inlineStr">
        <is>
          <t>Subscribe to a state</t>
        </is>
      </c>
      <c r="H473" s="8" t="inlineStr">
        <is>
          <t>backend_proxy_server.js</t>
        </is>
      </c>
      <c r="I473" s="8" t="n">
        <v>7740</v>
      </c>
    </row>
    <row r="474">
      <c r="A474" s="5" t="n">
        <v>473</v>
      </c>
      <c r="B474" s="6" t="inlineStr">
        <is>
          <t>GET</t>
        </is>
      </c>
      <c r="C474" s="7" t="inlineStr">
        <is>
          <t>/api/v2x/deployments</t>
        </is>
      </c>
      <c r="D474" s="5" t="inlineStr">
        <is>
          <t>v2x</t>
        </is>
      </c>
      <c r="E474" s="5" t="inlineStr">
        <is>
          <t>ITS / infrastructure</t>
        </is>
      </c>
      <c r="F474" s="5" t="inlineStr">
        <is>
          <t>Public (GET)</t>
        </is>
      </c>
      <c r="G474" s="5" t="inlineStr">
        <is>
          <t>Fetch USDOT V2X deployment locations from federal ArcGIS service</t>
        </is>
      </c>
      <c r="H474" s="5" t="inlineStr">
        <is>
          <t>backend_proxy_server.js</t>
        </is>
      </c>
      <c r="I474" s="5" t="n">
        <v>32404</v>
      </c>
    </row>
    <row r="475">
      <c r="A475" s="8" t="n">
        <v>474</v>
      </c>
      <c r="B475" s="12" t="inlineStr">
        <is>
          <t>GET</t>
        </is>
      </c>
      <c r="C475" s="10" t="inlineStr">
        <is>
          <t>/api/v2x/rsus</t>
        </is>
      </c>
      <c r="D475" s="8" t="inlineStr">
        <is>
          <t>v2x</t>
        </is>
      </c>
      <c r="E475" s="8" t="inlineStr">
        <is>
          <t>ITS / infrastructure</t>
        </is>
      </c>
      <c r="F475" s="8" t="inlineStr">
        <is>
          <t>Public (GET)</t>
        </is>
      </c>
      <c r="G475" s="8" t="inlineStr">
        <is>
          <t>Fetch USDOT RSU (Roadside Unit) locations</t>
        </is>
      </c>
      <c r="H475" s="8" t="inlineStr">
        <is>
          <t>backend_proxy_server.js</t>
        </is>
      </c>
      <c r="I475" s="8" t="n">
        <v>32448</v>
      </c>
    </row>
    <row r="476">
      <c r="A476" s="5" t="n">
        <v>475</v>
      </c>
      <c r="B476" s="6" t="inlineStr">
        <is>
          <t>GET</t>
        </is>
      </c>
      <c r="C476" s="7" t="inlineStr">
        <is>
          <t>/api/vendors/:vendorId/capabilities</t>
        </is>
      </c>
      <c r="D476" s="5" t="inlineStr">
        <is>
          <t>vendors</t>
        </is>
      </c>
      <c r="E476" s="5" t="inlineStr">
        <is>
          <t>Truck parking / vendors</t>
        </is>
      </c>
      <c r="F476" s="5" t="inlineStr">
        <is>
          <t>Public (GET)</t>
        </is>
      </c>
      <c r="G476" s="5" t="inlineStr">
        <is>
          <t>Get vendor capabilities (data categories they support)</t>
        </is>
      </c>
      <c r="H476" s="5" t="inlineStr">
        <is>
          <t>backend_proxy_server.js</t>
        </is>
      </c>
      <c r="I476" s="5" t="n">
        <v>25086</v>
      </c>
    </row>
    <row r="477">
      <c r="A477" s="8" t="n">
        <v>476</v>
      </c>
      <c r="B477" s="12" t="inlineStr">
        <is>
          <t>GET</t>
        </is>
      </c>
      <c r="C477" s="10" t="inlineStr">
        <is>
          <t>/api/vendors/:vendorId/quality-score</t>
        </is>
      </c>
      <c r="D477" s="8" t="inlineStr">
        <is>
          <t>vendors</t>
        </is>
      </c>
      <c r="E477" s="8" t="inlineStr">
        <is>
          <t>Truck parking / vendors</t>
        </is>
      </c>
      <c r="F477" s="8" t="inlineStr">
        <is>
          <t>Public (GET)</t>
        </is>
      </c>
      <c r="G477" s="8" t="inlineStr">
        <is>
          <t>Get quality score for a specific vendor</t>
        </is>
      </c>
      <c r="H477" s="8" t="inlineStr">
        <is>
          <t>backend_proxy_server.js</t>
        </is>
      </c>
      <c r="I477" s="8" t="n">
        <v>25030</v>
      </c>
    </row>
    <row r="478">
      <c r="A478" s="5" t="n">
        <v>477</v>
      </c>
      <c r="B478" s="6" t="inlineStr">
        <is>
          <t>GET</t>
        </is>
      </c>
      <c r="C478" s="7" t="inlineStr">
        <is>
          <t>/api/vendors/api-usage/:providerId</t>
        </is>
      </c>
      <c r="D478" s="5" t="inlineStr">
        <is>
          <t>vendors</t>
        </is>
      </c>
      <c r="E478" s="5" t="inlineStr">
        <is>
          <t>Truck parking / vendors</t>
        </is>
      </c>
      <c r="F478" s="5" t="inlineStr">
        <is>
          <t>Public (GET)</t>
        </is>
      </c>
      <c r="G478" s="5" t="inlineStr">
        <is>
          <t>GET /api/vendors/api-usage/:providerId - Get API usage statistics</t>
        </is>
      </c>
      <c r="H478" s="5" t="inlineStr">
        <is>
          <t>backend_proxy_server.js</t>
        </is>
      </c>
      <c r="I478" s="5" t="n">
        <v>17742</v>
      </c>
    </row>
    <row r="479">
      <c r="A479" s="8" t="n">
        <v>478</v>
      </c>
      <c r="B479" s="12" t="inlineStr">
        <is>
          <t>GET</t>
        </is>
      </c>
      <c r="C479" s="10" t="inlineStr">
        <is>
          <t>/api/vendors/quality-scores</t>
        </is>
      </c>
      <c r="D479" s="8" t="inlineStr">
        <is>
          <t>vendors</t>
        </is>
      </c>
      <c r="E479" s="8" t="inlineStr">
        <is>
          <t>Truck parking / vendors</t>
        </is>
      </c>
      <c r="F479" s="8" t="inlineStr">
        <is>
          <t>Public (GET)</t>
        </is>
      </c>
      <c r="G479" s="8" t="inlineStr">
        <is>
          <t>Get all TETC vendor quality scores</t>
        </is>
      </c>
      <c r="H479" s="8" t="inlineStr">
        <is>
          <t>backend_proxy_server.js</t>
        </is>
      </c>
      <c r="I479" s="8" t="n">
        <v>24923</v>
      </c>
    </row>
    <row r="480">
      <c r="A480" s="5" t="n">
        <v>479</v>
      </c>
      <c r="B480" s="6" t="inlineStr">
        <is>
          <t>GET</t>
        </is>
      </c>
      <c r="C480" s="7" t="inlineStr">
        <is>
          <t>/api/vendors/segment-enrichment</t>
        </is>
      </c>
      <c r="D480" s="5" t="inlineStr">
        <is>
          <t>vendors</t>
        </is>
      </c>
      <c r="E480" s="5" t="inlineStr">
        <is>
          <t>Truck parking / vendors</t>
        </is>
      </c>
      <c r="F480" s="5" t="inlineStr">
        <is>
          <t>Public (GET)</t>
        </is>
      </c>
      <c r="G480" s="5" t="inlineStr">
        <is>
          <t>GET /api/vendors/segment-enrichment - Get segment enrichment data</t>
        </is>
      </c>
      <c r="H480" s="5" t="inlineStr">
        <is>
          <t>backend_proxy_server.js</t>
        </is>
      </c>
      <c r="I480" s="5" t="n">
        <v>17692</v>
      </c>
    </row>
    <row r="481">
      <c r="A481" s="8" t="n">
        <v>480</v>
      </c>
      <c r="B481" s="12" t="inlineStr">
        <is>
          <t>GET</t>
        </is>
      </c>
      <c r="C481" s="10" t="inlineStr">
        <is>
          <t>/api/vendors/truck-parking</t>
        </is>
      </c>
      <c r="D481" s="8" t="inlineStr">
        <is>
          <t>vendors</t>
        </is>
      </c>
      <c r="E481" s="8" t="inlineStr">
        <is>
          <t>Truck parking / vendors</t>
        </is>
      </c>
      <c r="F481" s="8" t="inlineStr">
        <is>
          <t>Public (GET)</t>
        </is>
      </c>
      <c r="G481" s="8" t="inlineStr">
        <is>
          <t>GET /api/vendors/truck-parking - Get truck parking data</t>
        </is>
      </c>
      <c r="H481" s="8" t="inlineStr">
        <is>
          <t>backend_proxy_server.js</t>
        </is>
      </c>
      <c r="I481" s="8" t="n">
        <v>17639</v>
      </c>
    </row>
    <row r="482">
      <c r="A482" s="5" t="n">
        <v>481</v>
      </c>
      <c r="B482" s="6" t="inlineStr">
        <is>
          <t>GET</t>
        </is>
      </c>
      <c r="C482" s="7" t="inlineStr">
        <is>
          <t>/api/vendors/truck-parking/:facilityId/latest</t>
        </is>
      </c>
      <c r="D482" s="5" t="inlineStr">
        <is>
          <t>vendors</t>
        </is>
      </c>
      <c r="E482" s="5" t="inlineStr">
        <is>
          <t>Truck parking / vendors</t>
        </is>
      </c>
      <c r="F482" s="5" t="inlineStr">
        <is>
          <t>Public (GET)</t>
        </is>
      </c>
      <c r="G482" s="5" t="inlineStr">
        <is>
          <t>GET /api/vendors/truck-parking/:facilityId/latest - Get latest truck parking data for a facility</t>
        </is>
      </c>
      <c r="H482" s="5" t="inlineStr">
        <is>
          <t>backend_proxy_server.js</t>
        </is>
      </c>
      <c r="I482" s="5" t="n">
        <v>17664</v>
      </c>
    </row>
    <row r="483">
      <c r="A483" s="8" t="n">
        <v>482</v>
      </c>
      <c r="B483" s="9" t="inlineStr">
        <is>
          <t>POST</t>
        </is>
      </c>
      <c r="C483" s="10" t="inlineStr">
        <is>
          <t>/api/vendors/truck-parking/predict/:facilityId</t>
        </is>
      </c>
      <c r="D483" s="8" t="inlineStr">
        <is>
          <t>vendors</t>
        </is>
      </c>
      <c r="E483" s="8" t="inlineStr">
        <is>
          <t>Truck parking / vendors</t>
        </is>
      </c>
      <c r="F483" s="8" t="inlineStr">
        <is>
          <t>Write - check handler</t>
        </is>
      </c>
      <c r="G483" s="8" t="inlineStr">
        <is>
          <t>POST /api/vendors/truck-parking/predict/:facilityId - Generate AI predictions</t>
        </is>
      </c>
      <c r="H483" s="8" t="inlineStr">
        <is>
          <t>backend_proxy_server.js</t>
        </is>
      </c>
      <c r="I483" s="8" t="n">
        <v>17718</v>
      </c>
    </row>
    <row r="484">
      <c r="A484" s="5" t="n">
        <v>483</v>
      </c>
      <c r="B484" s="11" t="inlineStr">
        <is>
          <t>POST</t>
        </is>
      </c>
      <c r="C484" s="7" t="inlineStr">
        <is>
          <t>/api/vendors/upload</t>
        </is>
      </c>
      <c r="D484" s="5" t="inlineStr">
        <is>
          <t>vendors</t>
        </is>
      </c>
      <c r="E484" s="5" t="inlineStr">
        <is>
          <t>Truck parking / vendors</t>
        </is>
      </c>
      <c r="F484" s="5" t="inlineStr">
        <is>
          <t>Write - check handler</t>
        </is>
      </c>
      <c r="G484" s="5" t="inlineStr">
        <is>
          <t>POST /api/vendors/upload - Upload vendor data file</t>
        </is>
      </c>
      <c r="H484" s="5" t="inlineStr">
        <is>
          <t>backend_proxy_server.js</t>
        </is>
      </c>
      <c r="I484" s="5" t="n">
        <v>17562</v>
      </c>
    </row>
    <row r="485">
      <c r="A485" s="8" t="n">
        <v>484</v>
      </c>
      <c r="B485" s="12" t="inlineStr">
        <is>
          <t>GET</t>
        </is>
      </c>
      <c r="C485" s="10" t="inlineStr">
        <is>
          <t>/api/vendors/uploads/:providerId</t>
        </is>
      </c>
      <c r="D485" s="8" t="inlineStr">
        <is>
          <t>vendors</t>
        </is>
      </c>
      <c r="E485" s="8" t="inlineStr">
        <is>
          <t>Truck parking / vendors</t>
        </is>
      </c>
      <c r="F485" s="8" t="inlineStr">
        <is>
          <t>Public (GET)</t>
        </is>
      </c>
      <c r="G485" s="8" t="inlineStr">
        <is>
          <t>GET /api/vendors/uploads/:providerId - Get upload history for a provider</t>
        </is>
      </c>
      <c r="H485" s="8" t="inlineStr">
        <is>
          <t>backend_proxy_server.js</t>
        </is>
      </c>
      <c r="I485" s="8" t="n">
        <v>17616</v>
      </c>
    </row>
    <row r="486">
      <c r="A486" s="5" t="n">
        <v>485</v>
      </c>
      <c r="B486" s="11" t="inlineStr">
        <is>
          <t>POST</t>
        </is>
      </c>
      <c r="C486" s="7" t="inlineStr">
        <is>
          <t>/api/vendors/vote</t>
        </is>
      </c>
      <c r="D486" s="5" t="inlineStr">
        <is>
          <t>vendors</t>
        </is>
      </c>
      <c r="E486" s="5" t="inlineStr">
        <is>
          <t>Truck parking / vendors</t>
        </is>
      </c>
      <c r="F486" s="5" t="inlineStr">
        <is>
          <t>Write - check handler</t>
        </is>
      </c>
      <c r="G486" s="5" t="inlineStr">
        <is>
          <t>Submit a vote for a vendor quality score</t>
        </is>
      </c>
      <c r="H486" s="5" t="inlineStr">
        <is>
          <t>backend_proxy_server.js</t>
        </is>
      </c>
      <c r="I486" s="5" t="n">
        <v>25120</v>
      </c>
    </row>
    <row r="487">
      <c r="A487" s="8" t="n">
        <v>486</v>
      </c>
      <c r="B487" s="12" t="inlineStr">
        <is>
          <t>GET</t>
        </is>
      </c>
      <c r="C487" s="10" t="inlineStr">
        <is>
          <t>/api/vendors/votes</t>
        </is>
      </c>
      <c r="D487" s="8" t="inlineStr">
        <is>
          <t>vendors</t>
        </is>
      </c>
      <c r="E487" s="8" t="inlineStr">
        <is>
          <t>Truck parking / vendors</t>
        </is>
      </c>
      <c r="F487" s="8" t="inlineStr">
        <is>
          <t>Public (GET)</t>
        </is>
      </c>
      <c r="G487" s="8" t="inlineStr">
        <is>
          <t>Get vote counts for all vendor evaluations</t>
        </is>
      </c>
      <c r="H487" s="8" t="inlineStr">
        <is>
          <t>backend_proxy_server.js</t>
        </is>
      </c>
      <c r="I487" s="8" t="n">
        <v>25162</v>
      </c>
    </row>
    <row r="488">
      <c r="A488" s="5" t="n">
        <v>487</v>
      </c>
      <c r="B488" s="6" t="inlineStr">
        <is>
          <t>GET</t>
        </is>
      </c>
      <c r="C488" s="7" t="inlineStr">
        <is>
          <t>/api/warnings</t>
        </is>
      </c>
      <c r="D488" s="5" t="inlineStr">
        <is>
          <t>warnings</t>
        </is>
      </c>
      <c r="E488" s="5" t="inlineStr">
        <is>
          <t>Alerting</t>
        </is>
      </c>
      <c r="F488" s="5" t="inlineStr">
        <is>
          <t>Public (GET)</t>
        </is>
      </c>
      <c r="G488" s="5" t="inlineStr">
        <is>
          <t>Get traffic warnings for all corridors</t>
        </is>
      </c>
      <c r="H488" s="5" t="inlineStr">
        <is>
          <t>backend_proxy_server.js</t>
        </is>
      </c>
      <c r="I488" s="5" t="n">
        <v>7210</v>
      </c>
    </row>
    <row r="489">
      <c r="A489" s="8" t="n">
        <v>488</v>
      </c>
      <c r="B489" s="12" t="inlineStr">
        <is>
          <t>GET</t>
        </is>
      </c>
      <c r="C489" s="10" t="inlineStr">
        <is>
          <t>/api/warnings/corridor/:corridorName</t>
        </is>
      </c>
      <c r="D489" s="8" t="inlineStr">
        <is>
          <t>warnings</t>
        </is>
      </c>
      <c r="E489" s="8" t="inlineStr">
        <is>
          <t>Alerting</t>
        </is>
      </c>
      <c r="F489" s="8" t="inlineStr">
        <is>
          <t>Public (GET)</t>
        </is>
      </c>
      <c r="G489" s="8" t="inlineStr">
        <is>
          <t>Get traffic warnings for a specific corridor</t>
        </is>
      </c>
      <c r="H489" s="8" t="inlineStr">
        <is>
          <t>backend_proxy_server.js</t>
        </is>
      </c>
      <c r="I489" s="8" t="n">
        <v>7243</v>
      </c>
    </row>
    <row r="490">
      <c r="A490" s="5" t="n">
        <v>489</v>
      </c>
      <c r="B490" s="6" t="inlineStr">
        <is>
          <t>GET</t>
        </is>
      </c>
      <c r="C490" s="7" t="inlineStr">
        <is>
          <t>/api/weather-alerts</t>
        </is>
      </c>
      <c r="D490" s="5" t="inlineStr">
        <is>
          <t>weather-alerts</t>
        </is>
      </c>
      <c r="E490" s="5" t="inlineStr">
        <is>
          <t>Weather</t>
        </is>
      </c>
      <c r="F490" s="5" t="inlineStr">
        <is>
          <t>Public (GET)</t>
        </is>
      </c>
      <c r="G490" s="5" t="inlineStr"/>
      <c r="H490" s="5" t="inlineStr">
        <is>
          <t>backend_proxy_server.js</t>
        </is>
      </c>
      <c r="I490" s="5" t="n">
        <v>36040</v>
      </c>
    </row>
    <row r="491">
      <c r="A491" s="8" t="n">
        <v>490</v>
      </c>
      <c r="B491" s="12" t="inlineStr">
        <is>
          <t>GET</t>
        </is>
      </c>
      <c r="C491" s="10" t="inlineStr">
        <is>
          <t>/api/wfs/connections</t>
        </is>
      </c>
      <c r="D491" s="8" t="inlineStr">
        <is>
          <t>wfs</t>
        </is>
      </c>
      <c r="E491" s="8" t="inlineStr">
        <is>
          <t>ITS / infrastructure</t>
        </is>
      </c>
      <c r="F491" s="8" t="inlineStr">
        <is>
          <t>Public (GET)</t>
        </is>
      </c>
      <c r="G491" s="8" t="inlineStr">
        <is>
          <t>Get WFS connections</t>
        </is>
      </c>
      <c r="H491" s="8" t="inlineStr">
        <is>
          <t>backend_proxy_server.js</t>
        </is>
      </c>
      <c r="I491" s="8" t="n">
        <v>32572</v>
      </c>
    </row>
    <row r="492">
      <c r="A492" s="5" t="n">
        <v>491</v>
      </c>
      <c r="B492" s="11" t="inlineStr">
        <is>
          <t>POST</t>
        </is>
      </c>
      <c r="C492" s="7" t="inlineStr">
        <is>
          <t>/api/wfs/connections</t>
        </is>
      </c>
      <c r="D492" s="5" t="inlineStr">
        <is>
          <t>wfs</t>
        </is>
      </c>
      <c r="E492" s="5" t="inlineStr">
        <is>
          <t>ITS / infrastructure</t>
        </is>
      </c>
      <c r="F492" s="5" t="inlineStr">
        <is>
          <t>Write - check handler</t>
        </is>
      </c>
      <c r="G492" s="5" t="inlineStr">
        <is>
          <t>Add WFS connection</t>
        </is>
      </c>
      <c r="H492" s="5" t="inlineStr">
        <is>
          <t>backend_proxy_server.js</t>
        </is>
      </c>
      <c r="I492" s="5" t="n">
        <v>32509</v>
      </c>
    </row>
    <row r="493">
      <c r="A493" s="8" t="n">
        <v>492</v>
      </c>
      <c r="B493" s="15" t="inlineStr">
        <is>
          <t>DELETE</t>
        </is>
      </c>
      <c r="C493" s="10" t="inlineStr">
        <is>
          <t>/api/wfs/connections/:connectionId</t>
        </is>
      </c>
      <c r="D493" s="8" t="inlineStr">
        <is>
          <t>wfs</t>
        </is>
      </c>
      <c r="E493" s="8" t="inlineStr">
        <is>
          <t>ITS / infrastructure</t>
        </is>
      </c>
      <c r="F493" s="8" t="inlineStr">
        <is>
          <t>Write - check handler</t>
        </is>
      </c>
      <c r="G493" s="8" t="inlineStr">
        <is>
          <t>Delete WFS connection</t>
        </is>
      </c>
      <c r="H493" s="8" t="inlineStr">
        <is>
          <t>backend_proxy_server.js</t>
        </is>
      </c>
      <c r="I493" s="8" t="n">
        <v>32738</v>
      </c>
    </row>
    <row r="494">
      <c r="A494" s="5" t="n">
        <v>493</v>
      </c>
      <c r="B494" s="6" t="inlineStr">
        <is>
          <t>GET</t>
        </is>
      </c>
      <c r="C494" s="7" t="inlineStr">
        <is>
          <t>/api/wfs/sync-history/:connectionId</t>
        </is>
      </c>
      <c r="D494" s="5" t="inlineStr">
        <is>
          <t>wfs</t>
        </is>
      </c>
      <c r="E494" s="5" t="inlineStr">
        <is>
          <t>ITS / infrastructure</t>
        </is>
      </c>
      <c r="F494" s="5" t="inlineStr">
        <is>
          <t>Public (GET)</t>
        </is>
      </c>
      <c r="G494" s="5" t="inlineStr">
        <is>
          <t>Get WFS sync history</t>
        </is>
      </c>
      <c r="H494" s="5" t="inlineStr">
        <is>
          <t>backend_proxy_server.js</t>
        </is>
      </c>
      <c r="I494" s="5" t="n">
        <v>32755</v>
      </c>
    </row>
    <row r="495">
      <c r="A495" s="8" t="n">
        <v>494</v>
      </c>
      <c r="B495" s="9" t="inlineStr">
        <is>
          <t>POST</t>
        </is>
      </c>
      <c r="C495" s="10" t="inlineStr">
        <is>
          <t>/api/wfs/sync/:connectionId</t>
        </is>
      </c>
      <c r="D495" s="8" t="inlineStr">
        <is>
          <t>wfs</t>
        </is>
      </c>
      <c r="E495" s="8" t="inlineStr">
        <is>
          <t>ITS / infrastructure</t>
        </is>
      </c>
      <c r="F495" s="8" t="inlineStr">
        <is>
          <t>Write - check handler</t>
        </is>
      </c>
      <c r="G495" s="8" t="inlineStr">
        <is>
          <t>Trigger manual WFS sync</t>
        </is>
      </c>
      <c r="H495" s="8" t="inlineStr">
        <is>
          <t>backend_proxy_server.js</t>
        </is>
      </c>
      <c r="I495" s="8" t="n">
        <v>32600</v>
      </c>
    </row>
    <row r="496">
      <c r="A496" s="5" t="n">
        <v>495</v>
      </c>
      <c r="B496" s="11" t="inlineStr">
        <is>
          <t>POST</t>
        </is>
      </c>
      <c r="C496" s="7" t="inlineStr">
        <is>
          <t>/api/wfs/test</t>
        </is>
      </c>
      <c r="D496" s="5" t="inlineStr">
        <is>
          <t>wfs</t>
        </is>
      </c>
      <c r="E496" s="5" t="inlineStr">
        <is>
          <t>ITS / infrastructure</t>
        </is>
      </c>
      <c r="F496" s="5" t="inlineStr">
        <is>
          <t>Write - check handler</t>
        </is>
      </c>
      <c r="G496" s="5" t="inlineStr">
        <is>
          <t>Test WFS connection</t>
        </is>
      </c>
      <c r="H496" s="5" t="inlineStr">
        <is>
          <t>backend_proxy_server.js</t>
        </is>
      </c>
      <c r="I496" s="5" t="n">
        <v>32489</v>
      </c>
    </row>
    <row r="497">
      <c r="A497" s="8" t="n">
        <v>496</v>
      </c>
      <c r="B497" s="12" t="inlineStr">
        <is>
          <t>GET</t>
        </is>
      </c>
      <c r="C497" s="10" t="inlineStr">
        <is>
          <t>/api/wz/cameras</t>
        </is>
      </c>
      <c r="D497" s="8" t="inlineStr">
        <is>
          <t>wz</t>
        </is>
      </c>
      <c r="E497" s="8" t="inlineStr">
        <is>
          <t>Validation</t>
        </is>
      </c>
      <c r="F497" s="8" t="inlineStr">
        <is>
          <t>Public (GET)</t>
        </is>
      </c>
      <c r="G497" s="8" t="inlineStr"/>
      <c r="H497" s="8" t="inlineStr">
        <is>
          <t>backend_proxy_server.js</t>
        </is>
      </c>
      <c r="I497" s="8" t="n">
        <v>6707</v>
      </c>
    </row>
    <row r="498">
      <c r="A498" s="5" t="n">
        <v>497</v>
      </c>
      <c r="B498" s="6" t="inlineStr">
        <is>
          <t>GET</t>
        </is>
      </c>
      <c r="C498" s="7" t="inlineStr">
        <is>
          <t>/api/wz/dms</t>
        </is>
      </c>
      <c r="D498" s="5" t="inlineStr">
        <is>
          <t>wz</t>
        </is>
      </c>
      <c r="E498" s="5" t="inlineStr">
        <is>
          <t>Validation</t>
        </is>
      </c>
      <c r="F498" s="5" t="inlineStr">
        <is>
          <t>Public (GET)</t>
        </is>
      </c>
      <c r="G498" s="5" t="inlineStr"/>
      <c r="H498" s="5" t="inlineStr">
        <is>
          <t>backend_proxy_server.js</t>
        </is>
      </c>
      <c r="I498" s="5" t="n">
        <v>6720</v>
      </c>
    </row>
    <row r="499">
      <c r="A499" s="8" t="n">
        <v>498</v>
      </c>
      <c r="B499" s="12" t="inlineStr">
        <is>
          <t>GET</t>
        </is>
      </c>
      <c r="C499" s="10" t="inlineStr">
        <is>
          <t>/api/wz/exceptions</t>
        </is>
      </c>
      <c r="D499" s="8" t="inlineStr">
        <is>
          <t>wz</t>
        </is>
      </c>
      <c r="E499" s="8" t="inlineStr">
        <is>
          <t>Validation</t>
        </is>
      </c>
      <c r="F499" s="8" t="inlineStr">
        <is>
          <t>Public (GET)</t>
        </is>
      </c>
      <c r="G499" s="8" t="inlineStr">
        <is>
          <t>Exception queue: turns the deviation scorecard into a prioritized, root-caused fix-list, each item deep-linking into the relevant state's self-contained builder pre-filled with the flagged zone (detect → diagnose → route → correct → re-verify). See services/wz-exceptions.js.</t>
        </is>
      </c>
      <c r="H499" s="8" t="inlineStr">
        <is>
          <t>backend_proxy_server.js</t>
        </is>
      </c>
      <c r="I499" s="8" t="n">
        <v>5167</v>
      </c>
    </row>
    <row r="500">
      <c r="A500" s="5" t="n">
        <v>499</v>
      </c>
      <c r="B500" s="6" t="inlineStr">
        <is>
          <t>GET</t>
        </is>
      </c>
      <c r="C500" s="7" t="inlineStr">
        <is>
          <t>/api/wz/exceptions/digest</t>
        </is>
      </c>
      <c r="D500" s="5" t="inlineStr">
        <is>
          <t>wz</t>
        </is>
      </c>
      <c r="E500" s="5" t="inlineStr">
        <is>
          <t>Validation</t>
        </is>
      </c>
      <c r="F500" s="5" t="inlineStr">
        <is>
          <t>Public (GET)</t>
        </is>
      </c>
      <c r="G500" s="5" t="inlineStr">
        <is>
          <t>Per-state steward digest — the fix queue grouped by owner so findings arrive as a task list.</t>
        </is>
      </c>
      <c r="H500" s="5" t="inlineStr">
        <is>
          <t>backend_proxy_server.js</t>
        </is>
      </c>
      <c r="I500" s="5" t="n">
        <v>5191</v>
      </c>
    </row>
    <row r="501">
      <c r="A501" s="8" t="n">
        <v>500</v>
      </c>
      <c r="B501" s="9" t="inlineStr">
        <is>
          <t>POST</t>
        </is>
      </c>
      <c r="C501" s="10" t="inlineStr">
        <is>
          <t>/api/wz/exceptions/notify</t>
        </is>
      </c>
      <c r="D501" s="8" t="inlineStr">
        <is>
          <t>wz</t>
        </is>
      </c>
      <c r="E501" s="8" t="inlineStr">
        <is>
          <t>Validation</t>
        </is>
      </c>
      <c r="F501" s="8" t="inlineStr">
        <is>
          <t>Write - check handler</t>
        </is>
      </c>
      <c r="G501" s="8" t="inlineStr">
        <is>
          <t>Push the digest to per-state stewards' webhooks (or a global WZ_NOTIFY_WEBHOOK). Fire-and-forget.</t>
        </is>
      </c>
      <c r="H501" s="8" t="inlineStr">
        <is>
          <t>backend_proxy_server.js</t>
        </is>
      </c>
      <c r="I501" s="8" t="n">
        <v>5208</v>
      </c>
    </row>
    <row r="502">
      <c r="A502" s="5" t="n">
        <v>501</v>
      </c>
      <c r="B502" s="6" t="inlineStr">
        <is>
          <t>GET</t>
        </is>
      </c>
      <c r="C502" s="7" t="inlineStr">
        <is>
          <t>/api/wz/mileposts</t>
        </is>
      </c>
      <c r="D502" s="5" t="inlineStr">
        <is>
          <t>wz</t>
        </is>
      </c>
      <c r="E502" s="5" t="inlineStr">
        <is>
          <t>Validation</t>
        </is>
      </c>
      <c r="F502" s="5" t="inlineStr">
        <is>
          <t>Public (GET)</t>
        </is>
      </c>
      <c r="G502" s="5" t="inlineStr"/>
      <c r="H502" s="5" t="inlineStr">
        <is>
          <t>backend_proxy_server.js</t>
        </is>
      </c>
      <c r="I502" s="5" t="n">
        <v>6621</v>
      </c>
    </row>
    <row r="503">
      <c r="A503" s="8" t="n">
        <v>502</v>
      </c>
      <c r="B503" s="12" t="inlineStr">
        <is>
          <t>GET</t>
        </is>
      </c>
      <c r="C503" s="10" t="inlineStr">
        <is>
          <t>/api/wzdx/feed</t>
        </is>
      </c>
      <c r="D503" s="8" t="inlineStr">
        <is>
          <t>wzdx</t>
        </is>
      </c>
      <c r="E503" s="8" t="inlineStr">
        <is>
          <t>Core event data</t>
        </is>
      </c>
      <c r="F503" s="8" t="inlineStr">
        <is>
          <t>Public (GET)</t>
        </is>
      </c>
      <c r="G503" s="8" t="inlineStr">
        <is>
          <t>Get WZDx feed for all states/corridors</t>
        </is>
      </c>
      <c r="H503" s="8" t="inlineStr">
        <is>
          <t>backend_proxy_server.js</t>
        </is>
      </c>
      <c r="I503" s="8" t="n">
        <v>31482</v>
      </c>
    </row>
    <row r="504">
      <c r="A504" s="5" t="n">
        <v>503</v>
      </c>
      <c r="B504" s="6" t="inlineStr">
        <is>
          <t>GET</t>
        </is>
      </c>
      <c r="C504" s="7" t="inlineStr">
        <is>
          <t>/api/wzdx/feed/:state</t>
        </is>
      </c>
      <c r="D504" s="5" t="inlineStr">
        <is>
          <t>wzdx</t>
        </is>
      </c>
      <c r="E504" s="5" t="inlineStr">
        <is>
          <t>Core event data</t>
        </is>
      </c>
      <c r="F504" s="5" t="inlineStr">
        <is>
          <t>Public (GET)</t>
        </is>
      </c>
      <c r="G504" s="5" t="inlineStr">
        <is>
          <t>Get WZDx feed for specific state</t>
        </is>
      </c>
      <c r="H504" s="5" t="inlineStr">
        <is>
          <t>backend_proxy_server.js</t>
        </is>
      </c>
      <c r="I504" s="5" t="n">
        <v>31849</v>
      </c>
    </row>
    <row r="505">
      <c r="A505" s="8" t="n">
        <v>504</v>
      </c>
      <c r="B505" s="12" t="inlineStr">
        <is>
          <t>GET</t>
        </is>
      </c>
      <c r="C505" s="10" t="inlineStr">
        <is>
          <t>/api/wzdx/stats</t>
        </is>
      </c>
      <c r="D505" s="8" t="inlineStr">
        <is>
          <t>wzdx</t>
        </is>
      </c>
      <c r="E505" s="8" t="inlineStr">
        <is>
          <t>Core event data</t>
        </is>
      </c>
      <c r="F505" s="8" t="inlineStr">
        <is>
          <t>Public (GET)</t>
        </is>
      </c>
      <c r="G505" s="8" t="inlineStr">
        <is>
          <t>Get WZDx feed statistics</t>
        </is>
      </c>
      <c r="H505" s="8" t="inlineStr">
        <is>
          <t>backend_proxy_server.js</t>
        </is>
      </c>
      <c r="I505" s="8" t="n">
        <v>31942</v>
      </c>
    </row>
    <row r="506">
      <c r="A506" s="5" t="n">
        <v>505</v>
      </c>
      <c r="B506" s="6" t="inlineStr">
        <is>
          <t>GET</t>
        </is>
      </c>
      <c r="C506" s="7" t="inlineStr">
        <is>
          <t>/api/wzdx/upgraded/feed</t>
        </is>
      </c>
      <c r="D506" s="5" t="inlineStr">
        <is>
          <t>wzdx</t>
        </is>
      </c>
      <c r="E506" s="5" t="inlineStr">
        <is>
          <t>Core event data</t>
        </is>
      </c>
      <c r="F506" s="5" t="inlineStr">
        <is>
          <t>Public (GET)</t>
        </is>
      </c>
      <c r="G506" s="5" t="inlineStr">
        <is>
          <t>Get all upgraded feeds (all states combined)</t>
        </is>
      </c>
      <c r="H506" s="5" t="inlineStr">
        <is>
          <t>backend_proxy_server.js</t>
        </is>
      </c>
      <c r="I506" s="5" t="n">
        <v>32065</v>
      </c>
    </row>
    <row r="507">
      <c r="A507" s="8" t="n">
        <v>506</v>
      </c>
      <c r="B507" s="12" t="inlineStr">
        <is>
          <t>GET</t>
        </is>
      </c>
      <c r="C507" s="10" t="inlineStr">
        <is>
          <t>/api/wzdx/upgraded/feed/:state</t>
        </is>
      </c>
      <c r="D507" s="8" t="inlineStr">
        <is>
          <t>wzdx</t>
        </is>
      </c>
      <c r="E507" s="8" t="inlineStr">
        <is>
          <t>Core event data</t>
        </is>
      </c>
      <c r="F507" s="8" t="inlineStr">
        <is>
          <t>Public (GET)</t>
        </is>
      </c>
      <c r="G507" s="8" t="inlineStr">
        <is>
          <t>Get upgraded feed for specific state</t>
        </is>
      </c>
      <c r="H507" s="8" t="inlineStr">
        <is>
          <t>backend_proxy_server.js</t>
        </is>
      </c>
      <c r="I507" s="8" t="n">
        <v>32118</v>
      </c>
    </row>
    <row r="508">
      <c r="A508" s="5" t="n">
        <v>507</v>
      </c>
      <c r="B508" s="6" t="inlineStr">
        <is>
          <t>GET</t>
        </is>
      </c>
      <c r="C508" s="7" t="inlineStr">
        <is>
          <t>/api/wzdx/upgraded/states</t>
        </is>
      </c>
      <c r="D508" s="5" t="inlineStr">
        <is>
          <t>wzdx</t>
        </is>
      </c>
      <c r="E508" s="5" t="inlineStr">
        <is>
          <t>Core event data</t>
        </is>
      </c>
      <c r="F508" s="5" t="inlineStr">
        <is>
          <t>Public (GET)</t>
        </is>
      </c>
      <c r="G508" s="5" t="inlineStr">
        <is>
          <t>Get list of configured upgrade states</t>
        </is>
      </c>
      <c r="H508" s="5" t="inlineStr">
        <is>
          <t>backend_proxy_server.js</t>
        </is>
      </c>
      <c r="I508" s="5" t="n">
        <v>32170</v>
      </c>
    </row>
    <row r="509">
      <c r="A509" s="8" t="n">
        <v>508</v>
      </c>
      <c r="B509" s="12" t="inlineStr">
        <is>
          <t>GET</t>
        </is>
      </c>
      <c r="C509" s="10" t="inlineStr">
        <is>
          <t>/api/wzdx/upgraded/stats</t>
        </is>
      </c>
      <c r="D509" s="8" t="inlineStr">
        <is>
          <t>wzdx</t>
        </is>
      </c>
      <c r="E509" s="8" t="inlineStr">
        <is>
          <t>Core event data</t>
        </is>
      </c>
      <c r="F509" s="8" t="inlineStr">
        <is>
          <t>Public (GET)</t>
        </is>
      </c>
      <c r="G509" s="8" t="inlineStr">
        <is>
          <t>Get upgrade statistics</t>
        </is>
      </c>
      <c r="H509" s="8" t="inlineStr">
        <is>
          <t>backend_proxy_server.js</t>
        </is>
      </c>
      <c r="I509" s="8" t="n">
        <v>32151</v>
      </c>
    </row>
    <row r="510">
      <c r="A510" s="5" t="n">
        <v>509</v>
      </c>
      <c r="B510" s="11" t="inlineStr">
        <is>
          <t>POST</t>
        </is>
      </c>
      <c r="C510" s="7" t="inlineStr">
        <is>
          <t>/api/wzdx/validate</t>
        </is>
      </c>
      <c r="D510" s="5" t="inlineStr">
        <is>
          <t>wzdx</t>
        </is>
      </c>
      <c r="E510" s="5" t="inlineStr">
        <is>
          <t>Core event data</t>
        </is>
      </c>
      <c r="F510" s="5" t="inlineStr">
        <is>
          <t>Write - check handler</t>
        </is>
      </c>
      <c r="G510" s="5" t="inlineStr">
        <is>
          <t>Validate a WZDx feed</t>
        </is>
      </c>
      <c r="H510" s="5" t="inlineStr">
        <is>
          <t>backend_proxy_server.js</t>
        </is>
      </c>
      <c r="I510" s="5" t="n">
        <v>32025</v>
      </c>
    </row>
    <row r="511">
      <c r="A511" s="8" t="n">
        <v>510</v>
      </c>
      <c r="B511" s="9" t="inlineStr">
        <is>
          <t>POST</t>
        </is>
      </c>
      <c r="C511" s="10" t="inlineStr">
        <is>
          <t>/xapi/admin/apply-coordinate-offsets</t>
        </is>
      </c>
      <c r="D511" s="8" t="inlineStr">
        <is>
          <t>xapi</t>
        </is>
      </c>
      <c r="E511" s="8" t="inlineStr">
        <is>
          <t>Platform</t>
        </is>
      </c>
      <c r="F511" s="8" t="inlineStr">
        <is>
          <t>requireAdmin</t>
        </is>
      </c>
      <c r="G511" s="8" t="inlineStr"/>
      <c r="H511" s="8" t="inlineStr">
        <is>
          <t>backend_proxy_server.js</t>
        </is>
      </c>
      <c r="I511" s="8" t="n">
        <v>7856</v>
      </c>
    </row>
    <row r="512">
      <c r="A512" s="5" t="n">
        <v>511</v>
      </c>
      <c r="B512" s="11" t="inlineStr">
        <is>
          <t>POST</t>
        </is>
      </c>
      <c r="C512" s="7" t="inlineStr">
        <is>
          <t>/xapi/admin/import-facilities</t>
        </is>
      </c>
      <c r="D512" s="5" t="inlineStr">
        <is>
          <t>xapi</t>
        </is>
      </c>
      <c r="E512" s="5" t="inlineStr">
        <is>
          <t>Platform</t>
        </is>
      </c>
      <c r="F512" s="5" t="inlineStr">
        <is>
          <t>requireAdmin</t>
        </is>
      </c>
      <c r="G512" s="5" t="inlineStr">
        <is>
          <t>WORKAROUND: Uncached path to bypass Railway Edge CDN caching</t>
        </is>
      </c>
      <c r="H512" s="5" t="inlineStr">
        <is>
          <t>backend_proxy_server.js</t>
        </is>
      </c>
      <c r="I512" s="5" t="n">
        <v>7797</v>
      </c>
    </row>
  </sheetData>
  <autoFilter ref="A1:I51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8"/>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32" customWidth="1" min="2" max="2"/>
    <col width="10" customWidth="1" min="3" max="3"/>
    <col width="14" customWidth="1" min="4" max="4"/>
    <col width="10" customWidth="1" min="5" max="5"/>
    <col width="9" customWidth="1" min="6" max="6"/>
    <col width="76" customWidth="1" min="7" max="7"/>
    <col width="12" customWidth="1" min="8" max="8"/>
  </cols>
  <sheetData>
    <row r="1" ht="32" customHeight="1">
      <c r="A1" s="4" t="inlineStr">
        <is>
          <t>Feed key</t>
        </is>
      </c>
      <c r="B1" s="4" t="inlineStr">
        <is>
          <t>State / agency</t>
        </is>
      </c>
      <c r="C1" s="4" t="inlineStr">
        <is>
          <t>State code</t>
        </is>
      </c>
      <c r="D1" s="4" t="inlineStr">
        <is>
          <t>Feed type</t>
        </is>
      </c>
      <c r="E1" s="4" t="inlineStr">
        <is>
          <t>Format</t>
        </is>
      </c>
      <c r="F1" s="4" t="inlineStr">
        <is>
          <t>Enabled</t>
        </is>
      </c>
      <c r="G1" s="4" t="inlineStr">
        <is>
          <t>Feed URL (key redacted)</t>
        </is>
      </c>
      <c r="H1" s="4" t="inlineStr">
        <is>
          <t>Key required</t>
        </is>
      </c>
    </row>
    <row r="2">
      <c r="A2" s="5" t="inlineStr">
        <is>
          <t>az</t>
        </is>
      </c>
      <c r="B2" s="5" t="inlineStr">
        <is>
          <t>Arizona (Maricopa)</t>
        </is>
      </c>
      <c r="C2" s="5" t="inlineStr">
        <is>
          <t>AZ</t>
        </is>
      </c>
      <c r="D2" s="5" t="inlineStr">
        <is>
          <t>WZDx</t>
        </is>
      </c>
      <c r="E2" s="5" t="inlineStr">
        <is>
          <t>geojson</t>
        </is>
      </c>
      <c r="F2" s="5" t="inlineStr">
        <is>
          <t>Yes</t>
        </is>
      </c>
      <c r="G2" s="5" t="inlineStr">
        <is>
          <t>https://wzdxapi.aztech.org/construction</t>
        </is>
      </c>
      <c r="H2" s="5" t="inlineStr">
        <is>
          <t>No</t>
        </is>
      </c>
    </row>
    <row r="3">
      <c r="A3" s="8" t="inlineStr">
        <is>
          <t>ca</t>
        </is>
      </c>
      <c r="B3" s="8" t="inlineStr">
        <is>
          <t>California DOT</t>
        </is>
      </c>
      <c r="C3" s="8" t="inlineStr">
        <is>
          <t>CA</t>
        </is>
      </c>
      <c r="D3" s="8" t="inlineStr">
        <is>
          <t>WZDx</t>
        </is>
      </c>
      <c r="E3" s="8" t="inlineStr">
        <is>
          <t>geojson</t>
        </is>
      </c>
      <c r="F3" s="8" t="inlineStr">
        <is>
          <t>Yes</t>
        </is>
      </c>
      <c r="G3" s="8" t="inlineStr">
        <is>
          <t>https://api.511.org/traffic/wzdx?api_key=</t>
        </is>
      </c>
      <c r="H3" s="8" t="inlineStr">
        <is>
          <t>Yes</t>
        </is>
      </c>
    </row>
    <row r="4">
      <c r="A4" s="5" t="inlineStr">
        <is>
          <t>au</t>
        </is>
      </c>
      <c r="B4" s="5" t="inlineStr">
        <is>
          <t>City of Austin, TX</t>
        </is>
      </c>
      <c r="C4" s="5" t="inlineStr">
        <is>
          <t>TX</t>
        </is>
      </c>
      <c r="D4" s="5" t="inlineStr">
        <is>
          <t>WZDx</t>
        </is>
      </c>
      <c r="E4" s="5" t="inlineStr">
        <is>
          <t>geojson</t>
        </is>
      </c>
      <c r="F4" s="5" t="inlineStr">
        <is>
          <t>Yes</t>
        </is>
      </c>
      <c r="G4" s="5" t="inlineStr">
        <is>
          <t>https://data.austintexas.gov/download/d9mm-cjw9</t>
        </is>
      </c>
      <c r="H4" s="5" t="inlineStr">
        <is>
          <t>No</t>
        </is>
      </c>
    </row>
    <row r="5">
      <c r="A5" s="8" t="inlineStr">
        <is>
          <t>co</t>
        </is>
      </c>
      <c r="B5" s="8" t="inlineStr">
        <is>
          <t>Colorado DOT</t>
        </is>
      </c>
      <c r="C5" s="8" t="inlineStr">
        <is>
          <t>CO</t>
        </is>
      </c>
      <c r="D5" s="8" t="inlineStr">
        <is>
          <t>WZDx</t>
        </is>
      </c>
      <c r="E5" s="8" t="inlineStr">
        <is>
          <t>geojson</t>
        </is>
      </c>
      <c r="F5" s="8" t="inlineStr">
        <is>
          <t>Yes</t>
        </is>
      </c>
      <c r="G5" s="8" t="inlineStr">
        <is>
          <t>https://data.cotrip.org/api/v1/wzdx?apiKey=</t>
        </is>
      </c>
      <c r="H5" s="8" t="inlineStr">
        <is>
          <t>Yes</t>
        </is>
      </c>
    </row>
    <row r="6">
      <c r="A6" s="5" t="inlineStr">
        <is>
          <t>de</t>
        </is>
      </c>
      <c r="B6" s="5" t="inlineStr">
        <is>
          <t>Delaware</t>
        </is>
      </c>
      <c r="C6" s="5" t="inlineStr">
        <is>
          <t>DE</t>
        </is>
      </c>
      <c r="D6" s="5" t="inlineStr">
        <is>
          <t>WZDx</t>
        </is>
      </c>
      <c r="E6" s="5" t="inlineStr">
        <is>
          <t>geojson</t>
        </is>
      </c>
      <c r="F6" s="5" t="inlineStr">
        <is>
          <t>Yes</t>
        </is>
      </c>
      <c r="G6" s="5" t="inlineStr">
        <is>
          <t>https://wzdx.e-dot.com/del_dot_feed_wzdx_v4.1.geojson</t>
        </is>
      </c>
      <c r="H6" s="5" t="inlineStr">
        <is>
          <t>No</t>
        </is>
      </c>
    </row>
    <row r="7">
      <c r="A7" s="8" t="inlineStr">
        <is>
          <t>fl</t>
        </is>
      </c>
      <c r="B7" s="8" t="inlineStr">
        <is>
          <t>Florida</t>
        </is>
      </c>
      <c r="C7" s="8" t="inlineStr">
        <is>
          <t>FL</t>
        </is>
      </c>
      <c r="D7" s="8" t="inlineStr">
        <is>
          <t>WZDx</t>
        </is>
      </c>
      <c r="E7" s="8" t="inlineStr">
        <is>
          <t>json</t>
        </is>
      </c>
      <c r="F7" s="8" t="inlineStr">
        <is>
          <t>Yes</t>
        </is>
      </c>
      <c r="G7" s="8" t="inlineStr">
        <is>
          <t>https://us-datacloud.one.network/fdot/feed.json?app_key=&lt;REDACTED&gt;</t>
        </is>
      </c>
      <c r="H7" s="8" t="inlineStr">
        <is>
          <t>Yes</t>
        </is>
      </c>
    </row>
    <row r="8">
      <c r="A8" s="5" t="inlineStr">
        <is>
          <t>ga</t>
        </is>
      </c>
      <c r="B8" s="5" t="inlineStr">
        <is>
          <t>Georgia DOT</t>
        </is>
      </c>
      <c r="C8" s="5" t="inlineStr">
        <is>
          <t>GA</t>
        </is>
      </c>
      <c r="D8" s="5" t="inlineStr">
        <is>
          <t>WZDx</t>
        </is>
      </c>
      <c r="E8" s="5" t="inlineStr">
        <is>
          <t>geojson</t>
        </is>
      </c>
      <c r="F8" s="5" t="inlineStr">
        <is>
          <t>Yes</t>
        </is>
      </c>
      <c r="G8" s="5" t="inlineStr">
        <is>
          <t>https://511ga.org/feeds/wzdx</t>
        </is>
      </c>
      <c r="H8" s="5" t="inlineStr">
        <is>
          <t>No</t>
        </is>
      </c>
    </row>
    <row r="9">
      <c r="A9" s="8" t="inlineStr">
        <is>
          <t>hi</t>
        </is>
      </c>
      <c r="B9" s="8" t="inlineStr">
        <is>
          <t>Hawaii</t>
        </is>
      </c>
      <c r="C9" s="8" t="inlineStr">
        <is>
          <t>HI</t>
        </is>
      </c>
      <c r="D9" s="8" t="inlineStr">
        <is>
          <t>WZDx</t>
        </is>
      </c>
      <c r="E9" s="8" t="inlineStr">
        <is>
          <t>geojson</t>
        </is>
      </c>
      <c r="F9" s="8" t="inlineStr">
        <is>
          <t>Yes</t>
        </is>
      </c>
      <c r="G9" s="8" t="inlineStr">
        <is>
          <t>https://ai.blyncsy.io/wzdx/hidot/feed</t>
        </is>
      </c>
      <c r="H9" s="8" t="inlineStr">
        <is>
          <t>No</t>
        </is>
      </c>
    </row>
    <row r="10">
      <c r="A10" s="5" t="inlineStr">
        <is>
          <t>id</t>
        </is>
      </c>
      <c r="B10" s="5" t="inlineStr">
        <is>
          <t>Idaho</t>
        </is>
      </c>
      <c r="C10" s="5" t="inlineStr">
        <is>
          <t>ID</t>
        </is>
      </c>
      <c r="D10" s="5" t="inlineStr">
        <is>
          <t>WZDx</t>
        </is>
      </c>
      <c r="E10" s="5" t="inlineStr">
        <is>
          <t>geojson</t>
        </is>
      </c>
      <c r="F10" s="5" t="inlineStr">
        <is>
          <t>Yes</t>
        </is>
      </c>
      <c r="G10" s="5" t="inlineStr">
        <is>
          <t>https://511.idaho.gov/api/wzdx</t>
        </is>
      </c>
      <c r="H10" s="5" t="inlineStr">
        <is>
          <t>No</t>
        </is>
      </c>
    </row>
    <row r="11">
      <c r="A11" s="8" t="inlineStr">
        <is>
          <t>il</t>
        </is>
      </c>
      <c r="B11" s="8" t="inlineStr">
        <is>
          <t>Illinois</t>
        </is>
      </c>
      <c r="C11" s="8" t="inlineStr">
        <is>
          <t>IL</t>
        </is>
      </c>
      <c r="D11" s="8" t="inlineStr">
        <is>
          <t>TMDD/CARS</t>
        </is>
      </c>
      <c r="E11" s="8" t="inlineStr">
        <is>
          <t>json</t>
        </is>
      </c>
      <c r="F11" s="8" t="inlineStr">
        <is>
          <t>Yes</t>
        </is>
      </c>
      <c r="G11" s="8" t="inlineStr">
        <is>
          <t>https://travelmidwest.com/lmiga/incidents.json?path=GATEWAY.IL</t>
        </is>
      </c>
      <c r="H11" s="8" t="inlineStr">
        <is>
          <t>No</t>
        </is>
      </c>
    </row>
    <row r="12">
      <c r="A12" s="5" t="inlineStr">
        <is>
          <t>in</t>
        </is>
      </c>
      <c r="B12" s="5" t="inlineStr">
        <is>
          <t>Indiana</t>
        </is>
      </c>
      <c r="C12" s="5" t="inlineStr">
        <is>
          <t>IN</t>
        </is>
      </c>
      <c r="D12" s="5" t="inlineStr">
        <is>
          <t>TMDD/CARS</t>
        </is>
      </c>
      <c r="E12" s="5" t="inlineStr">
        <is>
          <t>xml</t>
        </is>
      </c>
      <c r="F12" s="5" t="inlineStr">
        <is>
          <t>Yes</t>
        </is>
      </c>
      <c r="G12" s="5" t="inlineStr">
        <is>
          <t>https://inhub.carsprogram.org/data/feu-g.xml</t>
        </is>
      </c>
      <c r="H12" s="5" t="inlineStr">
        <is>
          <t>No</t>
        </is>
      </c>
    </row>
    <row r="13">
      <c r="A13" s="8" t="inlineStr">
        <is>
          <t>ia</t>
        </is>
      </c>
      <c r="B13" s="8" t="inlineStr">
        <is>
          <t>Iowa</t>
        </is>
      </c>
      <c r="C13" s="8" t="inlineStr">
        <is>
          <t>IA</t>
        </is>
      </c>
      <c r="D13" s="8" t="inlineStr">
        <is>
          <t>TMDD/CARS</t>
        </is>
      </c>
      <c r="E13" s="8" t="inlineStr">
        <is>
          <t>xml</t>
        </is>
      </c>
      <c r="F13" s="8" t="inlineStr">
        <is>
          <t>Yes</t>
        </is>
      </c>
      <c r="G13" s="8" t="inlineStr">
        <is>
          <t>https://ia.carsprogram.org/hub/data/feu-g.xml</t>
        </is>
      </c>
      <c r="H13" s="8" t="inlineStr">
        <is>
          <t>No</t>
        </is>
      </c>
    </row>
    <row r="14">
      <c r="A14" s="5" t="inlineStr">
        <is>
          <t>io</t>
        </is>
      </c>
      <c r="B14" s="5" t="inlineStr">
        <is>
          <t>Iowa WZDx</t>
        </is>
      </c>
      <c r="C14" s="5" t="inlineStr">
        <is>
          <t>IA</t>
        </is>
      </c>
      <c r="D14" s="5" t="inlineStr">
        <is>
          <t>WZDx</t>
        </is>
      </c>
      <c r="E14" s="5" t="inlineStr">
        <is>
          <t>geojson</t>
        </is>
      </c>
      <c r="F14" s="5" t="inlineStr">
        <is>
          <t>Yes</t>
        </is>
      </c>
      <c r="G14" s="5" t="inlineStr">
        <is>
          <t>https://iowa-atms.cloud-q-free.com/api/rest/dataprism/wzdx/wzdxfeed</t>
        </is>
      </c>
      <c r="H14" s="5" t="inlineStr">
        <is>
          <t>No</t>
        </is>
      </c>
    </row>
    <row r="15">
      <c r="A15" s="8" t="inlineStr">
        <is>
          <t>ks</t>
        </is>
      </c>
      <c r="B15" s="8" t="inlineStr">
        <is>
          <t>Kansas</t>
        </is>
      </c>
      <c r="C15" s="8" t="inlineStr">
        <is>
          <t>KS</t>
        </is>
      </c>
      <c r="D15" s="8" t="inlineStr">
        <is>
          <t>TMDD/CARS</t>
        </is>
      </c>
      <c r="E15" s="8" t="inlineStr">
        <is>
          <t>xml</t>
        </is>
      </c>
      <c r="F15" s="8" t="inlineStr">
        <is>
          <t>Yes</t>
        </is>
      </c>
      <c r="G15" s="8" t="inlineStr">
        <is>
          <t>https://kscars.kandrive.gov/hub/data/feu-g.xml</t>
        </is>
      </c>
      <c r="H15" s="8" t="inlineStr">
        <is>
          <t>No</t>
        </is>
      </c>
    </row>
    <row r="16">
      <c r="A16" s="5" t="inlineStr">
        <is>
          <t>ky</t>
        </is>
      </c>
      <c r="B16" s="5" t="inlineStr">
        <is>
          <t>Kentucky</t>
        </is>
      </c>
      <c r="C16" s="5" t="inlineStr">
        <is>
          <t>KY</t>
        </is>
      </c>
      <c r="D16" s="5" t="inlineStr">
        <is>
          <t>WZDx</t>
        </is>
      </c>
      <c r="E16" s="5" t="inlineStr">
        <is>
          <t>geojson</t>
        </is>
      </c>
      <c r="F16" s="5" t="inlineStr">
        <is>
          <t>Yes</t>
        </is>
      </c>
      <c r="G16" s="5" t="inlineStr">
        <is>
          <t>https://storage.googleapis.com/kytc-its-2020-openrecords/public/feeds/WZDx/kytc_wzdx_v4.1.geojson</t>
        </is>
      </c>
      <c r="H16" s="5" t="inlineStr">
        <is>
          <t>No</t>
        </is>
      </c>
    </row>
    <row r="17">
      <c r="A17" s="8" t="inlineStr">
        <is>
          <t>la</t>
        </is>
      </c>
      <c r="B17" s="8" t="inlineStr">
        <is>
          <t>Louisiana</t>
        </is>
      </c>
      <c r="C17" s="8" t="inlineStr">
        <is>
          <t>LA</t>
        </is>
      </c>
      <c r="D17" s="8" t="inlineStr">
        <is>
          <t>WZDx</t>
        </is>
      </c>
      <c r="E17" s="8" t="inlineStr">
        <is>
          <t>geojson</t>
        </is>
      </c>
      <c r="F17" s="8" t="inlineStr">
        <is>
          <t>Yes</t>
        </is>
      </c>
      <c r="G17" s="8" t="inlineStr">
        <is>
          <t>https://wzdx.e-dot.com/la_dot_d_feed_wzdx_v4.1.geojson</t>
        </is>
      </c>
      <c r="H17" s="8" t="inlineStr">
        <is>
          <t>No</t>
        </is>
      </c>
    </row>
    <row r="18">
      <c r="A18" s="5" t="inlineStr">
        <is>
          <t>md</t>
        </is>
      </c>
      <c r="B18" s="5" t="inlineStr">
        <is>
          <t>Maryland</t>
        </is>
      </c>
      <c r="C18" s="5" t="inlineStr">
        <is>
          <t>MD</t>
        </is>
      </c>
      <c r="D18" s="5" t="inlineStr">
        <is>
          <t>WZDx</t>
        </is>
      </c>
      <c r="E18" s="5" t="inlineStr">
        <is>
          <t>geojson</t>
        </is>
      </c>
      <c r="F18" s="5" t="inlineStr">
        <is>
          <t>Yes</t>
        </is>
      </c>
      <c r="G18" s="5" t="inlineStr">
        <is>
          <t>https://filter.ritis.org/wzdx_v4.1/mdot.geojson</t>
        </is>
      </c>
      <c r="H18" s="5" t="inlineStr">
        <is>
          <t>No</t>
        </is>
      </c>
    </row>
    <row r="19">
      <c r="A19" s="8" t="inlineStr">
        <is>
          <t>ma</t>
        </is>
      </c>
      <c r="B19" s="8" t="inlineStr">
        <is>
          <t>Massachusetts</t>
        </is>
      </c>
      <c r="C19" s="8" t="inlineStr">
        <is>
          <t>MA</t>
        </is>
      </c>
      <c r="D19" s="8" t="inlineStr">
        <is>
          <t>WZDx</t>
        </is>
      </c>
      <c r="E19" s="8" t="inlineStr">
        <is>
          <t>geojson</t>
        </is>
      </c>
      <c r="F19" s="8" t="inlineStr">
        <is>
          <t>Yes</t>
        </is>
      </c>
      <c r="G19" s="8" t="inlineStr">
        <is>
          <t>https://feed.massdot-swzm.com/massdot_wzdx_v4.1_work_zone_feed.geojson</t>
        </is>
      </c>
      <c r="H19" s="8" t="inlineStr">
        <is>
          <t>No</t>
        </is>
      </c>
    </row>
    <row r="20">
      <c r="A20" s="5" t="inlineStr">
        <is>
          <t>mn</t>
        </is>
      </c>
      <c r="B20" s="5" t="inlineStr">
        <is>
          <t>Minnesota</t>
        </is>
      </c>
      <c r="C20" s="5" t="inlineStr">
        <is>
          <t>MN</t>
        </is>
      </c>
      <c r="D20" s="5" t="inlineStr">
        <is>
          <t>TMDD/CARS</t>
        </is>
      </c>
      <c r="E20" s="5" t="inlineStr">
        <is>
          <t>xml</t>
        </is>
      </c>
      <c r="F20" s="5" t="inlineStr">
        <is>
          <t>Yes</t>
        </is>
      </c>
      <c r="G20" s="5" t="inlineStr">
        <is>
          <t>https://mn.carsprogram.org/hub/data/feu-g.xml</t>
        </is>
      </c>
      <c r="H20" s="5" t="inlineStr">
        <is>
          <t>No</t>
        </is>
      </c>
    </row>
    <row r="21">
      <c r="A21" s="8" t="inlineStr">
        <is>
          <t>mi</t>
        </is>
      </c>
      <c r="B21" s="8" t="inlineStr">
        <is>
          <t>Mississippi</t>
        </is>
      </c>
      <c r="C21" s="8" t="inlineStr">
        <is>
          <t>MS</t>
        </is>
      </c>
      <c r="D21" s="8" t="inlineStr">
        <is>
          <t>WZDx</t>
        </is>
      </c>
      <c r="E21" s="8" t="inlineStr">
        <is>
          <t>geojson</t>
        </is>
      </c>
      <c r="F21" s="8" t="inlineStr">
        <is>
          <t>Yes</t>
        </is>
      </c>
      <c r="G21" s="8" t="inlineStr">
        <is>
          <t>https://api.mdottraffic.com/prod/v3/data/wzdx</t>
        </is>
      </c>
      <c r="H21" s="8" t="inlineStr">
        <is>
          <t>No</t>
        </is>
      </c>
    </row>
    <row r="22">
      <c r="A22" s="5" t="inlineStr">
        <is>
          <t>mo</t>
        </is>
      </c>
      <c r="B22" s="5" t="inlineStr">
        <is>
          <t>Missouri</t>
        </is>
      </c>
      <c r="C22" s="5" t="inlineStr">
        <is>
          <t>MO</t>
        </is>
      </c>
      <c r="D22" s="5" t="inlineStr">
        <is>
          <t>WZDx</t>
        </is>
      </c>
      <c r="E22" s="5" t="inlineStr">
        <is>
          <t>json</t>
        </is>
      </c>
      <c r="F22" s="5" t="inlineStr">
        <is>
          <t>Yes</t>
        </is>
      </c>
      <c r="G22" s="5" t="inlineStr">
        <is>
          <t>https://traveler.modot.org/timconfig/feed/desktop/mo_wzdx.json</t>
        </is>
      </c>
      <c r="H22" s="5" t="inlineStr">
        <is>
          <t>No</t>
        </is>
      </c>
    </row>
    <row r="23">
      <c r="A23" s="8" t="inlineStr">
        <is>
          <t>ne</t>
        </is>
      </c>
      <c r="B23" s="8" t="inlineStr">
        <is>
          <t>Nebraska</t>
        </is>
      </c>
      <c r="C23" s="8" t="inlineStr">
        <is>
          <t>NE</t>
        </is>
      </c>
      <c r="D23" s="8" t="inlineStr">
        <is>
          <t>TMDD/CARS</t>
        </is>
      </c>
      <c r="E23" s="8" t="inlineStr">
        <is>
          <t>xml</t>
        </is>
      </c>
      <c r="F23" s="8" t="inlineStr">
        <is>
          <t>Yes</t>
        </is>
      </c>
      <c r="G23" s="8" t="inlineStr">
        <is>
          <t>https://ne.carsprogram.org/hub/data/feu-g.xml</t>
        </is>
      </c>
      <c r="H23" s="8" t="inlineStr">
        <is>
          <t>No</t>
        </is>
      </c>
    </row>
    <row r="24">
      <c r="A24" s="5" t="inlineStr">
        <is>
          <t>nv</t>
        </is>
      </c>
      <c r="B24" s="5" t="inlineStr">
        <is>
          <t>Nevada</t>
        </is>
      </c>
      <c r="C24" s="5" t="inlineStr">
        <is>
          <t>NV</t>
        </is>
      </c>
      <c r="D24" s="5" t="inlineStr">
        <is>
          <t>TMDD/CARS</t>
        </is>
      </c>
      <c r="E24" s="5" t="inlineStr">
        <is>
          <t>json</t>
        </is>
      </c>
      <c r="F24" s="5" t="inlineStr">
        <is>
          <t>Yes</t>
        </is>
      </c>
      <c r="G24" s="5" t="inlineStr">
        <is>
          <t>https://www.nvroads.com/api/v2/get/roadconditions</t>
        </is>
      </c>
      <c r="H24" s="5" t="inlineStr">
        <is>
          <t>No</t>
        </is>
      </c>
    </row>
    <row r="25">
      <c r="A25" s="8" t="inlineStr">
        <is>
          <t>nj</t>
        </is>
      </c>
      <c r="B25" s="8" t="inlineStr">
        <is>
          <t>New Jersey</t>
        </is>
      </c>
      <c r="C25" s="8" t="inlineStr">
        <is>
          <t>NJ</t>
        </is>
      </c>
      <c r="D25" s="8" t="inlineStr">
        <is>
          <t>WZDx</t>
        </is>
      </c>
      <c r="E25" s="8" t="inlineStr">
        <is>
          <t>geojson</t>
        </is>
      </c>
      <c r="F25" s="8" t="inlineStr">
        <is>
          <t>Yes</t>
        </is>
      </c>
      <c r="G25" s="8" t="inlineStr">
        <is>
          <t>https://smartworkzones.njit.edu/nj/wzdx</t>
        </is>
      </c>
      <c r="H25" s="8" t="inlineStr">
        <is>
          <t>No</t>
        </is>
      </c>
    </row>
    <row r="26">
      <c r="A26" s="5" t="inlineStr">
        <is>
          <t>nm</t>
        </is>
      </c>
      <c r="B26" s="5" t="inlineStr">
        <is>
          <t>New Mexico</t>
        </is>
      </c>
      <c r="C26" s="5" t="inlineStr">
        <is>
          <t>NM</t>
        </is>
      </c>
      <c r="D26" s="5" t="inlineStr">
        <is>
          <t>WZDx</t>
        </is>
      </c>
      <c r="E26" s="5" t="inlineStr">
        <is>
          <t>geojson</t>
        </is>
      </c>
      <c r="F26" s="5" t="inlineStr">
        <is>
          <t>Yes</t>
        </is>
      </c>
      <c r="G26" s="5" t="inlineStr">
        <is>
          <t>https://ai.blyncsy.io/wzdx/nmdot/feed</t>
        </is>
      </c>
      <c r="H26" s="5" t="inlineStr">
        <is>
          <t>No</t>
        </is>
      </c>
    </row>
    <row r="27">
      <c r="A27" s="8" t="inlineStr">
        <is>
          <t>ny</t>
        </is>
      </c>
      <c r="B27" s="8" t="inlineStr">
        <is>
          <t>New York</t>
        </is>
      </c>
      <c r="C27" s="8" t="inlineStr">
        <is>
          <t>NY</t>
        </is>
      </c>
      <c r="D27" s="8" t="inlineStr">
        <is>
          <t>WZDx</t>
        </is>
      </c>
      <c r="E27" s="8" t="inlineStr">
        <is>
          <t>geojson</t>
        </is>
      </c>
      <c r="F27" s="8" t="inlineStr">
        <is>
          <t>Yes</t>
        </is>
      </c>
      <c r="G27" s="8" t="inlineStr">
        <is>
          <t>https://511ny.org/api/wzdx</t>
        </is>
      </c>
      <c r="H27" s="8" t="inlineStr">
        <is>
          <t>No</t>
        </is>
      </c>
    </row>
    <row r="28">
      <c r="A28" s="5" t="inlineStr">
        <is>
          <t>nc</t>
        </is>
      </c>
      <c r="B28" s="5" t="inlineStr">
        <is>
          <t>North Carolina</t>
        </is>
      </c>
      <c r="C28" s="5" t="inlineStr">
        <is>
          <t>NC</t>
        </is>
      </c>
      <c r="D28" s="5" t="inlineStr">
        <is>
          <t>WZDx</t>
        </is>
      </c>
      <c r="E28" s="5" t="inlineStr">
        <is>
          <t>json</t>
        </is>
      </c>
      <c r="F28" s="5" t="inlineStr">
        <is>
          <t>Yes</t>
        </is>
      </c>
      <c r="G28" s="5" t="inlineStr">
        <is>
          <t>https://us-datacloud.one.network/wzdx-north-carolina.json?app_key=&lt;REDACTED&gt;</t>
        </is>
      </c>
      <c r="H28" s="5" t="inlineStr">
        <is>
          <t>Yes</t>
        </is>
      </c>
    </row>
    <row r="29">
      <c r="A29" s="8" t="inlineStr">
        <is>
          <t>oh</t>
        </is>
      </c>
      <c r="B29" s="8" t="inlineStr">
        <is>
          <t>Ohio</t>
        </is>
      </c>
      <c r="C29" s="8" t="inlineStr">
        <is>
          <t>OH</t>
        </is>
      </c>
      <c r="D29" s="8" t="inlineStr">
        <is>
          <t>TMDD/CARS</t>
        </is>
      </c>
      <c r="E29" s="8" t="inlineStr">
        <is>
          <t>json</t>
        </is>
      </c>
      <c r="F29" s="8" t="inlineStr">
        <is>
          <t>Yes</t>
        </is>
      </c>
      <c r="G29" s="8" t="inlineStr">
        <is>
          <t>https://publicapi.ohgo.com/api/v1/constructions</t>
        </is>
      </c>
      <c r="H29" s="8" t="inlineStr">
        <is>
          <t>No</t>
        </is>
      </c>
    </row>
    <row r="30">
      <c r="A30" s="5" t="inlineStr">
        <is>
          <t>ok</t>
        </is>
      </c>
      <c r="B30" s="5" t="inlineStr">
        <is>
          <t>Oklahoma</t>
        </is>
      </c>
      <c r="C30" s="5" t="inlineStr">
        <is>
          <t>OK</t>
        </is>
      </c>
      <c r="D30" s="5" t="inlineStr">
        <is>
          <t>WZDx</t>
        </is>
      </c>
      <c r="E30" s="5" t="inlineStr">
        <is>
          <t>geojson</t>
        </is>
      </c>
      <c r="F30" s="5" t="inlineStr">
        <is>
          <t>Yes</t>
        </is>
      </c>
      <c r="G30" s="5" t="inlineStr">
        <is>
          <t>https://oktraffic.org/api/Geojsons/workzones?&amp;access_token=&lt;REDACTED&gt;</t>
        </is>
      </c>
      <c r="H30" s="5" t="inlineStr">
        <is>
          <t>Yes</t>
        </is>
      </c>
    </row>
    <row r="31">
      <c r="A31" s="8" t="inlineStr">
        <is>
          <t>pa</t>
        </is>
      </c>
      <c r="B31" s="8" t="inlineStr">
        <is>
          <t>Pennsylvania DOT</t>
        </is>
      </c>
      <c r="C31" s="8" t="inlineStr">
        <is>
          <t>PA</t>
        </is>
      </c>
      <c r="D31" s="8" t="inlineStr">
        <is>
          <t>WZDx</t>
        </is>
      </c>
      <c r="E31" s="8" t="inlineStr">
        <is>
          <t>geojson</t>
        </is>
      </c>
      <c r="F31" s="8" t="inlineStr">
        <is>
          <t>Yes</t>
        </is>
      </c>
      <c r="G31" s="8" t="inlineStr">
        <is>
          <t>https://atms.paturnpike.com/api/WZDxWorkZoneFeed?api_key=</t>
        </is>
      </c>
      <c r="H31" s="8" t="inlineStr">
        <is>
          <t>Yes</t>
        </is>
      </c>
    </row>
    <row r="32">
      <c r="A32" s="5" t="inlineStr">
        <is>
          <t>dt</t>
        </is>
      </c>
      <c r="B32" s="5" t="inlineStr">
        <is>
          <t>PurposeBuilt DTCD (CWZ 1.0)</t>
        </is>
      </c>
      <c r="C32" s="5" t="inlineStr">
        <is>
          <t>-</t>
        </is>
      </c>
      <c r="D32" s="5" t="inlineStr">
        <is>
          <t>WZDx</t>
        </is>
      </c>
      <c r="E32" s="5" t="inlineStr">
        <is>
          <t>geojson</t>
        </is>
      </c>
      <c r="F32" s="5" t="inlineStr">
        <is>
          <t>Yes</t>
        </is>
      </c>
      <c r="G32" s="5" t="inlineStr">
        <is>
          <t>https://feeds.purposebuilt.systems/cwz</t>
        </is>
      </c>
      <c r="H32" s="5" t="inlineStr">
        <is>
          <t>No</t>
        </is>
      </c>
    </row>
    <row r="33">
      <c r="A33" s="8" t="inlineStr">
        <is>
          <t>qu</t>
        </is>
      </c>
      <c r="B33" s="8" t="inlineStr">
        <is>
          <t>Quebec City</t>
        </is>
      </c>
      <c r="C33" s="8" t="inlineStr">
        <is>
          <t>-</t>
        </is>
      </c>
      <c r="D33" s="8" t="inlineStr">
        <is>
          <t>WZDx</t>
        </is>
      </c>
      <c r="E33" s="8" t="inlineStr">
        <is>
          <t>geojson</t>
        </is>
      </c>
      <c r="F33" s="8" t="inlineStr">
        <is>
          <t>Yes</t>
        </is>
      </c>
      <c r="G33" s="8" t="inlineStr">
        <is>
          <t>https://quebec.gewi.com/wzdx/pull</t>
        </is>
      </c>
      <c r="H33" s="8" t="inlineStr">
        <is>
          <t>No</t>
        </is>
      </c>
    </row>
    <row r="34">
      <c r="A34" s="5" t="inlineStr">
        <is>
          <t>tx</t>
        </is>
      </c>
      <c r="B34" s="5" t="inlineStr">
        <is>
          <t>Texas DOT</t>
        </is>
      </c>
      <c r="C34" s="5" t="inlineStr">
        <is>
          <t>TX</t>
        </is>
      </c>
      <c r="D34" s="5" t="inlineStr">
        <is>
          <t>WZDx</t>
        </is>
      </c>
      <c r="E34" s="5" t="inlineStr">
        <is>
          <t>geojson</t>
        </is>
      </c>
      <c r="F34" s="5" t="inlineStr">
        <is>
          <t>Yes</t>
        </is>
      </c>
      <c r="G34" s="5" t="inlineStr">
        <is>
          <t>https://api.drivetexas.org/api/conditions.wzdx.geojson</t>
        </is>
      </c>
      <c r="H34" s="5" t="inlineStr">
        <is>
          <t>No</t>
        </is>
      </c>
    </row>
    <row r="35">
      <c r="A35" s="8" t="inlineStr">
        <is>
          <t>ut</t>
        </is>
      </c>
      <c r="B35" s="8" t="inlineStr">
        <is>
          <t>Utah</t>
        </is>
      </c>
      <c r="C35" s="8" t="inlineStr">
        <is>
          <t>UT</t>
        </is>
      </c>
      <c r="D35" s="8" t="inlineStr">
        <is>
          <t>TMDD/CARS</t>
        </is>
      </c>
      <c r="E35" s="8" t="inlineStr">
        <is>
          <t>json</t>
        </is>
      </c>
      <c r="F35" s="8" t="inlineStr">
        <is>
          <t>Yes</t>
        </is>
      </c>
      <c r="G35" s="8" t="inlineStr">
        <is>
          <t>https://udottraffic.utah.gov/wzdx/udot/v40/data</t>
        </is>
      </c>
      <c r="H35" s="8" t="inlineStr">
        <is>
          <t>No</t>
        </is>
      </c>
    </row>
    <row r="36">
      <c r="A36" s="5" t="inlineStr">
        <is>
          <t>va</t>
        </is>
      </c>
      <c r="B36" s="5" t="inlineStr">
        <is>
          <t>Virginia DOT</t>
        </is>
      </c>
      <c r="C36" s="5" t="inlineStr">
        <is>
          <t>VA</t>
        </is>
      </c>
      <c r="D36" s="5" t="inlineStr">
        <is>
          <t>WZDx</t>
        </is>
      </c>
      <c r="E36" s="5" t="inlineStr">
        <is>
          <t>geojson</t>
        </is>
      </c>
      <c r="F36" s="5" t="inlineStr">
        <is>
          <t>Yes</t>
        </is>
      </c>
      <c r="G36" s="5" t="inlineStr">
        <is>
          <t>https://data.511-atis-ttrip-prod.iteriscloud.com/smarterRoads/workzone/workZoneJSON/current/workZone.json?token=</t>
        </is>
      </c>
      <c r="H36" s="5" t="inlineStr">
        <is>
          <t>Yes</t>
        </is>
      </c>
    </row>
    <row r="37">
      <c r="A37" s="8" t="inlineStr">
        <is>
          <t>wa</t>
        </is>
      </c>
      <c r="B37" s="8" t="inlineStr">
        <is>
          <t>Washington</t>
        </is>
      </c>
      <c r="C37" s="8" t="inlineStr">
        <is>
          <t>WA</t>
        </is>
      </c>
      <c r="D37" s="8" t="inlineStr">
        <is>
          <t>WZDx</t>
        </is>
      </c>
      <c r="E37" s="8" t="inlineStr">
        <is>
          <t>geojson</t>
        </is>
      </c>
      <c r="F37" s="8" t="inlineStr">
        <is>
          <t>Yes</t>
        </is>
      </c>
      <c r="G37" s="8" t="inlineStr">
        <is>
          <t>https://wzdx.wsdot.wa.gov/api/v4/WorkZoneFeed</t>
        </is>
      </c>
      <c r="H37" s="8" t="inlineStr">
        <is>
          <t>No</t>
        </is>
      </c>
    </row>
    <row r="38">
      <c r="A38" s="5" t="inlineStr">
        <is>
          <t>wi</t>
        </is>
      </c>
      <c r="B38" s="5" t="inlineStr">
        <is>
          <t>Wisconsin</t>
        </is>
      </c>
      <c r="C38" s="5" t="inlineStr">
        <is>
          <t>WI</t>
        </is>
      </c>
      <c r="D38" s="5" t="inlineStr">
        <is>
          <t>WZDx</t>
        </is>
      </c>
      <c r="E38" s="5" t="inlineStr">
        <is>
          <t>json</t>
        </is>
      </c>
      <c r="F38" s="5" t="inlineStr">
        <is>
          <t>Yes</t>
        </is>
      </c>
      <c r="G38" s="5" t="inlineStr">
        <is>
          <t>https://511wi.gov/api/wzdx</t>
        </is>
      </c>
      <c r="H38" s="5" t="inlineStr">
        <is>
          <t>No</t>
        </is>
      </c>
    </row>
  </sheetData>
  <autoFilter ref="A1:H3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2" customWidth="1" min="2" max="2"/>
    <col width="18" customWidth="1" min="3" max="3"/>
    <col width="30" customWidth="1" min="4" max="4"/>
    <col width="10" customWidth="1" min="5" max="5"/>
    <col width="12" customWidth="1" min="6" max="6"/>
    <col width="14" customWidth="1" min="7" max="7"/>
    <col width="12" customWidth="1" min="8" max="8"/>
    <col width="12" customWidth="1" min="9" max="9"/>
    <col width="10" customWidth="1" min="10" max="10"/>
    <col width="66" customWidth="1" min="11" max="11"/>
  </cols>
  <sheetData>
    <row r="1" ht="32" customHeight="1">
      <c r="A1" s="4" t="inlineStr">
        <is>
          <t>State</t>
        </is>
      </c>
      <c r="B1" s="4" t="inlineStr">
        <is>
          <t>Name</t>
        </is>
      </c>
      <c r="C1" s="4" t="inlineStr">
        <is>
          <t>Work-zone event feed</t>
        </is>
      </c>
      <c r="D1" s="4" t="inlineStr">
        <is>
          <t>Feed key(s) / type</t>
        </is>
      </c>
      <c r="E1" s="4" t="inlineStr">
        <is>
          <t>Cameras</t>
        </is>
      </c>
      <c r="F1" s="4" t="inlineStr">
        <is>
          <t>Camera count</t>
        </is>
      </c>
      <c r="G1" s="4" t="inlineStr">
        <is>
          <t>DMS / devices</t>
        </is>
      </c>
      <c r="H1" s="4" t="inlineStr">
        <is>
          <t>Device count</t>
        </is>
      </c>
      <c r="I1" s="4" t="inlineStr">
        <is>
          <t>NWS weather</t>
        </is>
      </c>
      <c r="J1" s="4" t="inlineStr">
        <is>
          <t>Channels</t>
        </is>
      </c>
      <c r="K1" s="4" t="inlineStr">
        <is>
          <t>Gap note</t>
        </is>
      </c>
    </row>
    <row r="2">
      <c r="A2" s="27" t="inlineStr">
        <is>
          <t>AL</t>
        </is>
      </c>
      <c r="B2" s="28" t="inlineStr">
        <is>
          <t>Alabama</t>
        </is>
      </c>
      <c r="C2" s="29" t="inlineStr">
        <is>
          <t>No</t>
        </is>
      </c>
      <c r="D2" s="28" t="inlineStr"/>
      <c r="E2" s="29" t="inlineStr">
        <is>
          <t>No</t>
        </is>
      </c>
      <c r="F2" s="28" t="inlineStr"/>
      <c r="G2" s="29" t="inlineStr">
        <is>
          <t>No</t>
        </is>
      </c>
      <c r="H2" s="28" t="inlineStr"/>
      <c r="I2" s="28" t="inlineStr">
        <is>
          <t>Yes</t>
        </is>
      </c>
      <c r="J2" s="28" t="n">
        <v>0</v>
      </c>
      <c r="K2" s="28" t="inlineStr">
        <is>
          <t>ALGO Traffic - no public API</t>
        </is>
      </c>
    </row>
    <row r="3">
      <c r="A3" s="27" t="inlineStr">
        <is>
          <t>AK</t>
        </is>
      </c>
      <c r="B3" s="28" t="inlineStr">
        <is>
          <t>Alaska</t>
        </is>
      </c>
      <c r="C3" s="29" t="inlineStr">
        <is>
          <t>No</t>
        </is>
      </c>
      <c r="D3" s="28" t="inlineStr"/>
      <c r="E3" s="29" t="inlineStr">
        <is>
          <t>No</t>
        </is>
      </c>
      <c r="F3" s="28" t="inlineStr"/>
      <c r="G3" s="29" t="inlineStr">
        <is>
          <t>No</t>
        </is>
      </c>
      <c r="H3" s="28" t="inlineStr"/>
      <c r="I3" s="28" t="inlineStr">
        <is>
          <t>Yes</t>
        </is>
      </c>
      <c r="J3" s="28" t="n">
        <v>0</v>
      </c>
      <c r="K3" s="28" t="inlineStr">
        <is>
          <t>511AK custom JSON - documented in STATE_COVERAGE.md but NOT in the production registry</t>
        </is>
      </c>
    </row>
    <row r="4">
      <c r="A4" s="18" t="inlineStr">
        <is>
          <t>AZ</t>
        </is>
      </c>
      <c r="B4" s="5" t="inlineStr">
        <is>
          <t>Arizona</t>
        </is>
      </c>
      <c r="C4" s="6" t="inlineStr">
        <is>
          <t>Yes</t>
        </is>
      </c>
      <c r="D4" s="5" t="inlineStr">
        <is>
          <t>az (WZDx)</t>
        </is>
      </c>
      <c r="E4" s="6" t="inlineStr">
        <is>
          <t>Yes</t>
        </is>
      </c>
      <c r="F4" s="5" t="n">
        <v>644</v>
      </c>
      <c r="G4" s="16" t="inlineStr">
        <is>
          <t>Key needed</t>
        </is>
      </c>
      <c r="H4" s="5" t="inlineStr"/>
      <c r="I4" s="5" t="inlineStr">
        <is>
          <t>Yes</t>
        </is>
      </c>
      <c r="J4" s="5" t="n">
        <v>2</v>
      </c>
      <c r="K4" s="5" t="inlineStr"/>
    </row>
    <row r="5">
      <c r="A5" s="27" t="inlineStr">
        <is>
          <t>AR</t>
        </is>
      </c>
      <c r="B5" s="28" t="inlineStr">
        <is>
          <t>Arkansas</t>
        </is>
      </c>
      <c r="C5" s="29" t="inlineStr">
        <is>
          <t>No</t>
        </is>
      </c>
      <c r="D5" s="28" t="inlineStr"/>
      <c r="E5" s="29" t="inlineStr">
        <is>
          <t>No</t>
        </is>
      </c>
      <c r="F5" s="28" t="inlineStr"/>
      <c r="G5" s="29" t="inlineStr">
        <is>
          <t>No</t>
        </is>
      </c>
      <c r="H5" s="28" t="inlineStr"/>
      <c r="I5" s="28" t="inlineStr">
        <is>
          <t>Yes</t>
        </is>
      </c>
      <c r="J5" s="28" t="n">
        <v>0</v>
      </c>
      <c r="K5" s="28" t="inlineStr">
        <is>
          <t>No public feed found</t>
        </is>
      </c>
    </row>
    <row r="6">
      <c r="A6" s="18" t="inlineStr">
        <is>
          <t>CA</t>
        </is>
      </c>
      <c r="B6" s="5" t="inlineStr">
        <is>
          <t>California</t>
        </is>
      </c>
      <c r="C6" s="6" t="inlineStr">
        <is>
          <t>Yes</t>
        </is>
      </c>
      <c r="D6" s="5" t="inlineStr">
        <is>
          <t>ca (WZDx)</t>
        </is>
      </c>
      <c r="E6" s="6" t="inlineStr">
        <is>
          <t>Yes</t>
        </is>
      </c>
      <c r="F6" s="5" t="n">
        <v>3340</v>
      </c>
      <c r="G6" s="6" t="inlineStr">
        <is>
          <t>Yes</t>
        </is>
      </c>
      <c r="H6" s="5" t="n">
        <v>1016</v>
      </c>
      <c r="I6" s="5" t="inlineStr">
        <is>
          <t>Yes</t>
        </is>
      </c>
      <c r="J6" s="5" t="n">
        <v>3</v>
      </c>
      <c r="K6" s="5" t="inlineStr"/>
    </row>
    <row r="7">
      <c r="A7" s="30" t="inlineStr">
        <is>
          <t>CO</t>
        </is>
      </c>
      <c r="B7" s="31" t="inlineStr">
        <is>
          <t>Colorado</t>
        </is>
      </c>
      <c r="C7" s="32" t="inlineStr">
        <is>
          <t>Yes</t>
        </is>
      </c>
      <c r="D7" s="31" t="inlineStr">
        <is>
          <t>co (WZDx)</t>
        </is>
      </c>
      <c r="E7" s="33" t="inlineStr">
        <is>
          <t>No</t>
        </is>
      </c>
      <c r="F7" s="31" t="inlineStr"/>
      <c r="G7" s="33" t="inlineStr">
        <is>
          <t>No</t>
        </is>
      </c>
      <c r="H7" s="31" t="inlineStr"/>
      <c r="I7" s="31" t="inlineStr">
        <is>
          <t>Yes</t>
        </is>
      </c>
      <c r="J7" s="31" t="n">
        <v>1</v>
      </c>
      <c r="K7" s="31" t="inlineStr"/>
    </row>
    <row r="8">
      <c r="A8" s="27" t="inlineStr">
        <is>
          <t>CT</t>
        </is>
      </c>
      <c r="B8" s="28" t="inlineStr">
        <is>
          <t>Connecticut</t>
        </is>
      </c>
      <c r="C8" s="29" t="inlineStr">
        <is>
          <t>No</t>
        </is>
      </c>
      <c r="D8" s="28" t="inlineStr"/>
      <c r="E8" s="29" t="inlineStr">
        <is>
          <t>No</t>
        </is>
      </c>
      <c r="F8" s="28" t="inlineStr"/>
      <c r="G8" s="29" t="inlineStr">
        <is>
          <t>No</t>
        </is>
      </c>
      <c r="H8" s="28" t="inlineStr"/>
      <c r="I8" s="28" t="inlineStr">
        <is>
          <t>Yes</t>
        </is>
      </c>
      <c r="J8" s="28" t="n">
        <v>0</v>
      </c>
      <c r="K8" s="28" t="inlineStr">
        <is>
          <t>No public feed found</t>
        </is>
      </c>
    </row>
    <row r="9">
      <c r="A9" s="30" t="inlineStr">
        <is>
          <t>DE</t>
        </is>
      </c>
      <c r="B9" s="31" t="inlineStr">
        <is>
          <t>Delaware</t>
        </is>
      </c>
      <c r="C9" s="32" t="inlineStr">
        <is>
          <t>Yes</t>
        </is>
      </c>
      <c r="D9" s="31" t="inlineStr">
        <is>
          <t>de (WZDx)</t>
        </is>
      </c>
      <c r="E9" s="33" t="inlineStr">
        <is>
          <t>No</t>
        </is>
      </c>
      <c r="F9" s="31" t="inlineStr"/>
      <c r="G9" s="33" t="inlineStr">
        <is>
          <t>No</t>
        </is>
      </c>
      <c r="H9" s="31" t="inlineStr"/>
      <c r="I9" s="31" t="inlineStr">
        <is>
          <t>Yes</t>
        </is>
      </c>
      <c r="J9" s="31" t="n">
        <v>1</v>
      </c>
      <c r="K9" s="31" t="inlineStr"/>
    </row>
    <row r="10">
      <c r="A10" s="27" t="inlineStr">
        <is>
          <t>DC</t>
        </is>
      </c>
      <c r="B10" s="28" t="inlineStr">
        <is>
          <t>District of Columbia</t>
        </is>
      </c>
      <c r="C10" s="29" t="inlineStr">
        <is>
          <t>No</t>
        </is>
      </c>
      <c r="D10" s="28" t="inlineStr"/>
      <c r="E10" s="29" t="inlineStr">
        <is>
          <t>No</t>
        </is>
      </c>
      <c r="F10" s="28" t="inlineStr"/>
      <c r="G10" s="29" t="inlineStr">
        <is>
          <t>No</t>
        </is>
      </c>
      <c r="H10" s="28" t="inlineStr"/>
      <c r="I10" s="28" t="inlineStr">
        <is>
          <t>Yes</t>
        </is>
      </c>
      <c r="J10" s="28" t="n">
        <v>0</v>
      </c>
      <c r="K10" s="28" t="inlineStr">
        <is>
          <t>No public feed found</t>
        </is>
      </c>
    </row>
    <row r="11">
      <c r="A11" s="17" t="inlineStr">
        <is>
          <t>FL</t>
        </is>
      </c>
      <c r="B11" s="8" t="inlineStr">
        <is>
          <t>Florida</t>
        </is>
      </c>
      <c r="C11" s="12" t="inlineStr">
        <is>
          <t>Yes</t>
        </is>
      </c>
      <c r="D11" s="8" t="inlineStr">
        <is>
          <t>fl (WZDx)</t>
        </is>
      </c>
      <c r="E11" s="12" t="inlineStr">
        <is>
          <t>Yes</t>
        </is>
      </c>
      <c r="F11" s="8" t="n">
        <v>1669</v>
      </c>
      <c r="G11" s="12" t="inlineStr">
        <is>
          <t>Yes</t>
        </is>
      </c>
      <c r="H11" s="8" t="n">
        <v>1047</v>
      </c>
      <c r="I11" s="8" t="inlineStr">
        <is>
          <t>Yes</t>
        </is>
      </c>
      <c r="J11" s="8" t="n">
        <v>3</v>
      </c>
      <c r="K11" s="8" t="inlineStr"/>
    </row>
    <row r="12">
      <c r="A12" s="18" t="inlineStr">
        <is>
          <t>GA</t>
        </is>
      </c>
      <c r="B12" s="5" t="inlineStr">
        <is>
          <t>Georgia</t>
        </is>
      </c>
      <c r="C12" s="6" t="inlineStr">
        <is>
          <t>Yes</t>
        </is>
      </c>
      <c r="D12" s="5" t="inlineStr">
        <is>
          <t>ga (WZDx)</t>
        </is>
      </c>
      <c r="E12" s="6" t="inlineStr">
        <is>
          <t>Yes</t>
        </is>
      </c>
      <c r="F12" s="5" t="n">
        <v>4043</v>
      </c>
      <c r="G12" s="13" t="inlineStr">
        <is>
          <t>No</t>
        </is>
      </c>
      <c r="H12" s="5" t="inlineStr"/>
      <c r="I12" s="5" t="inlineStr">
        <is>
          <t>Yes</t>
        </is>
      </c>
      <c r="J12" s="5" t="n">
        <v>2</v>
      </c>
      <c r="K12" s="5" t="inlineStr"/>
    </row>
    <row r="13">
      <c r="A13" s="30" t="inlineStr">
        <is>
          <t>HI</t>
        </is>
      </c>
      <c r="B13" s="31" t="inlineStr">
        <is>
          <t>Hawaii</t>
        </is>
      </c>
      <c r="C13" s="32" t="inlineStr">
        <is>
          <t>Yes</t>
        </is>
      </c>
      <c r="D13" s="31" t="inlineStr">
        <is>
          <t>hi (WZDx)</t>
        </is>
      </c>
      <c r="E13" s="33" t="inlineStr">
        <is>
          <t>No</t>
        </is>
      </c>
      <c r="F13" s="31" t="inlineStr"/>
      <c r="G13" s="33" t="inlineStr">
        <is>
          <t>No</t>
        </is>
      </c>
      <c r="H13" s="31" t="inlineStr"/>
      <c r="I13" s="31" t="inlineStr">
        <is>
          <t>Yes</t>
        </is>
      </c>
      <c r="J13" s="31" t="n">
        <v>1</v>
      </c>
      <c r="K13" s="31" t="inlineStr"/>
    </row>
    <row r="14">
      <c r="A14" s="18" t="inlineStr">
        <is>
          <t>ID</t>
        </is>
      </c>
      <c r="B14" s="5" t="inlineStr">
        <is>
          <t>Idaho</t>
        </is>
      </c>
      <c r="C14" s="6" t="inlineStr">
        <is>
          <t>Yes</t>
        </is>
      </c>
      <c r="D14" s="5" t="inlineStr">
        <is>
          <t>id (WZDx)</t>
        </is>
      </c>
      <c r="E14" s="6" t="inlineStr">
        <is>
          <t>Yes</t>
        </is>
      </c>
      <c r="F14" s="5" t="n">
        <v>457</v>
      </c>
      <c r="G14" s="16" t="inlineStr">
        <is>
          <t>Key needed</t>
        </is>
      </c>
      <c r="H14" s="5" t="inlineStr"/>
      <c r="I14" s="5" t="inlineStr">
        <is>
          <t>Yes</t>
        </is>
      </c>
      <c r="J14" s="5" t="n">
        <v>2</v>
      </c>
      <c r="K14" s="5" t="inlineStr"/>
    </row>
    <row r="15">
      <c r="A15" s="30" t="inlineStr">
        <is>
          <t>IL</t>
        </is>
      </c>
      <c r="B15" s="31" t="inlineStr">
        <is>
          <t>Illinois</t>
        </is>
      </c>
      <c r="C15" s="32" t="inlineStr">
        <is>
          <t>Yes</t>
        </is>
      </c>
      <c r="D15" s="31" t="inlineStr">
        <is>
          <t>il (TMDD/CARS)</t>
        </is>
      </c>
      <c r="E15" s="33" t="inlineStr">
        <is>
          <t>No</t>
        </is>
      </c>
      <c r="F15" s="31" t="inlineStr"/>
      <c r="G15" s="33" t="inlineStr">
        <is>
          <t>No</t>
        </is>
      </c>
      <c r="H15" s="31" t="inlineStr"/>
      <c r="I15" s="31" t="inlineStr">
        <is>
          <t>Yes</t>
        </is>
      </c>
      <c r="J15" s="31" t="n">
        <v>1</v>
      </c>
      <c r="K15" s="31" t="inlineStr"/>
    </row>
    <row r="16">
      <c r="A16" s="30" t="inlineStr">
        <is>
          <t>IN</t>
        </is>
      </c>
      <c r="B16" s="31" t="inlineStr">
        <is>
          <t>Indiana</t>
        </is>
      </c>
      <c r="C16" s="32" t="inlineStr">
        <is>
          <t>Yes</t>
        </is>
      </c>
      <c r="D16" s="31" t="inlineStr">
        <is>
          <t>in (TMDD/CARS)</t>
        </is>
      </c>
      <c r="E16" s="33" t="inlineStr">
        <is>
          <t>No</t>
        </is>
      </c>
      <c r="F16" s="31" t="inlineStr"/>
      <c r="G16" s="33" t="inlineStr">
        <is>
          <t>No</t>
        </is>
      </c>
      <c r="H16" s="31" t="inlineStr"/>
      <c r="I16" s="31" t="inlineStr">
        <is>
          <t>Yes</t>
        </is>
      </c>
      <c r="J16" s="31" t="n">
        <v>1</v>
      </c>
      <c r="K16" s="31" t="inlineStr"/>
    </row>
    <row r="17">
      <c r="A17" s="17" t="inlineStr">
        <is>
          <t>IA</t>
        </is>
      </c>
      <c r="B17" s="8" t="inlineStr">
        <is>
          <t>Iowa</t>
        </is>
      </c>
      <c r="C17" s="12" t="inlineStr">
        <is>
          <t>Yes</t>
        </is>
      </c>
      <c r="D17" s="8" t="inlineStr">
        <is>
          <t>ia (TMDD/CARS); io (WZDx)</t>
        </is>
      </c>
      <c r="E17" s="12" t="inlineStr">
        <is>
          <t>Yes</t>
        </is>
      </c>
      <c r="F17" s="8" t="n">
        <v>1252</v>
      </c>
      <c r="G17" s="12" t="inlineStr">
        <is>
          <t>Yes</t>
        </is>
      </c>
      <c r="H17" s="8" t="inlineStr">
        <is>
          <t>via DMS_View</t>
        </is>
      </c>
      <c r="I17" s="8" t="inlineStr">
        <is>
          <t>Yes</t>
        </is>
      </c>
      <c r="J17" s="8" t="n">
        <v>3</v>
      </c>
      <c r="K17" s="8" t="inlineStr">
        <is>
          <t>Iowa's DMS comes through the DMS_View ArcGIS layer (dms-corroboration.js / device-ingest.js), not the multi-state device-adapters registry - so it is not in the 9 counted there</t>
        </is>
      </c>
    </row>
    <row r="18">
      <c r="A18" s="30" t="inlineStr">
        <is>
          <t>KS</t>
        </is>
      </c>
      <c r="B18" s="31" t="inlineStr">
        <is>
          <t>Kansas</t>
        </is>
      </c>
      <c r="C18" s="32" t="inlineStr">
        <is>
          <t>Yes</t>
        </is>
      </c>
      <c r="D18" s="31" t="inlineStr">
        <is>
          <t>ks (TMDD/CARS)</t>
        </is>
      </c>
      <c r="E18" s="33" t="inlineStr">
        <is>
          <t>No</t>
        </is>
      </c>
      <c r="F18" s="31" t="inlineStr"/>
      <c r="G18" s="33" t="inlineStr">
        <is>
          <t>No</t>
        </is>
      </c>
      <c r="H18" s="31" t="inlineStr"/>
      <c r="I18" s="31" t="inlineStr">
        <is>
          <t>Yes</t>
        </is>
      </c>
      <c r="J18" s="31" t="n">
        <v>1</v>
      </c>
      <c r="K18" s="31" t="inlineStr"/>
    </row>
    <row r="19">
      <c r="A19" s="17" t="inlineStr">
        <is>
          <t>KY</t>
        </is>
      </c>
      <c r="B19" s="8" t="inlineStr">
        <is>
          <t>Kentucky</t>
        </is>
      </c>
      <c r="C19" s="12" t="inlineStr">
        <is>
          <t>Yes</t>
        </is>
      </c>
      <c r="D19" s="8" t="inlineStr">
        <is>
          <t>ky (WZDx)</t>
        </is>
      </c>
      <c r="E19" s="15" t="inlineStr">
        <is>
          <t>No</t>
        </is>
      </c>
      <c r="F19" s="8" t="inlineStr"/>
      <c r="G19" s="12" t="inlineStr">
        <is>
          <t>Yes</t>
        </is>
      </c>
      <c r="H19" s="8" t="n">
        <v>90</v>
      </c>
      <c r="I19" s="8" t="inlineStr">
        <is>
          <t>Yes</t>
        </is>
      </c>
      <c r="J19" s="8" t="n">
        <v>2</v>
      </c>
      <c r="K19" s="8" t="inlineStr"/>
    </row>
    <row r="20">
      <c r="A20" s="18" t="inlineStr">
        <is>
          <t>LA</t>
        </is>
      </c>
      <c r="B20" s="5" t="inlineStr">
        <is>
          <t>Louisiana</t>
        </is>
      </c>
      <c r="C20" s="6" t="inlineStr">
        <is>
          <t>Yes</t>
        </is>
      </c>
      <c r="D20" s="5" t="inlineStr">
        <is>
          <t>la (WZDx)</t>
        </is>
      </c>
      <c r="E20" s="6" t="inlineStr">
        <is>
          <t>Yes</t>
        </is>
      </c>
      <c r="F20" s="5" t="n">
        <v>336</v>
      </c>
      <c r="G20" s="16" t="inlineStr">
        <is>
          <t>Key needed</t>
        </is>
      </c>
      <c r="H20" s="5" t="inlineStr"/>
      <c r="I20" s="5" t="inlineStr">
        <is>
          <t>Yes</t>
        </is>
      </c>
      <c r="J20" s="5" t="n">
        <v>2</v>
      </c>
      <c r="K20" s="5" t="inlineStr"/>
    </row>
    <row r="21">
      <c r="A21" s="17" t="inlineStr">
        <is>
          <t>ME</t>
        </is>
      </c>
      <c r="B21" s="8" t="inlineStr">
        <is>
          <t>Maine</t>
        </is>
      </c>
      <c r="C21" s="15" t="inlineStr">
        <is>
          <t>No</t>
        </is>
      </c>
      <c r="D21" s="8" t="inlineStr"/>
      <c r="E21" s="12" t="inlineStr">
        <is>
          <t>Yes</t>
        </is>
      </c>
      <c r="F21" s="8" t="n">
        <v>405</v>
      </c>
      <c r="G21" s="12" t="inlineStr">
        <is>
          <t>Yes</t>
        </is>
      </c>
      <c r="H21" s="8" t="n">
        <v>101</v>
      </c>
      <c r="I21" s="8" t="inlineStr">
        <is>
          <t>Yes</t>
        </is>
      </c>
      <c r="J21" s="8" t="n">
        <v>2</v>
      </c>
      <c r="K21" s="8" t="inlineStr">
        <is>
          <t>No event feed, but cameras AND a portable-DMS feed are live - an event feed is the only missing piece</t>
        </is>
      </c>
    </row>
    <row r="22">
      <c r="A22" s="18" t="inlineStr">
        <is>
          <t>MD</t>
        </is>
      </c>
      <c r="B22" s="5" t="inlineStr">
        <is>
          <t>Maryland</t>
        </is>
      </c>
      <c r="C22" s="6" t="inlineStr">
        <is>
          <t>Yes</t>
        </is>
      </c>
      <c r="D22" s="5" t="inlineStr">
        <is>
          <t>md (WZDx)</t>
        </is>
      </c>
      <c r="E22" s="13" t="inlineStr">
        <is>
          <t>No</t>
        </is>
      </c>
      <c r="F22" s="5" t="inlineStr"/>
      <c r="G22" s="6" t="inlineStr">
        <is>
          <t>Yes</t>
        </is>
      </c>
      <c r="H22" s="5" t="n">
        <v>295</v>
      </c>
      <c r="I22" s="5" t="inlineStr">
        <is>
          <t>Yes</t>
        </is>
      </c>
      <c r="J22" s="5" t="n">
        <v>2</v>
      </c>
      <c r="K22" s="5" t="inlineStr"/>
    </row>
    <row r="23">
      <c r="A23" s="30" t="inlineStr">
        <is>
          <t>MA</t>
        </is>
      </c>
      <c r="B23" s="31" t="inlineStr">
        <is>
          <t>Massachusetts</t>
        </is>
      </c>
      <c r="C23" s="32" t="inlineStr">
        <is>
          <t>Yes</t>
        </is>
      </c>
      <c r="D23" s="31" t="inlineStr">
        <is>
          <t>ma (WZDx)</t>
        </is>
      </c>
      <c r="E23" s="33" t="inlineStr">
        <is>
          <t>No</t>
        </is>
      </c>
      <c r="F23" s="31" t="inlineStr"/>
      <c r="G23" s="33" t="inlineStr">
        <is>
          <t>No</t>
        </is>
      </c>
      <c r="H23" s="31" t="inlineStr"/>
      <c r="I23" s="31" t="inlineStr">
        <is>
          <t>Yes</t>
        </is>
      </c>
      <c r="J23" s="31" t="n">
        <v>1</v>
      </c>
      <c r="K23" s="31" t="inlineStr"/>
    </row>
    <row r="24">
      <c r="A24" s="27" t="inlineStr">
        <is>
          <t>MI</t>
        </is>
      </c>
      <c r="B24" s="28" t="inlineStr">
        <is>
          <t>Michigan</t>
        </is>
      </c>
      <c r="C24" s="29" t="inlineStr">
        <is>
          <t>No</t>
        </is>
      </c>
      <c r="D24" s="28" t="inlineStr"/>
      <c r="E24" s="29" t="inlineStr">
        <is>
          <t>No</t>
        </is>
      </c>
      <c r="F24" s="28" t="inlineStr"/>
      <c r="G24" s="29" t="inlineStr">
        <is>
          <t>No</t>
        </is>
      </c>
      <c r="H24" s="28" t="inlineStr"/>
      <c r="I24" s="28" t="inlineStr">
        <is>
          <t>Yes</t>
        </is>
      </c>
      <c r="J24" s="28" t="n">
        <v>0</v>
      </c>
      <c r="K24" s="28" t="inlineStr">
        <is>
          <t>Mi Drive - no public WZDx. NOTE: the local dev states.db mislabels the 'mi' key as Michigan; production correctly has it as Mississippi</t>
        </is>
      </c>
    </row>
    <row r="25">
      <c r="A25" s="17" t="inlineStr">
        <is>
          <t>MN</t>
        </is>
      </c>
      <c r="B25" s="8" t="inlineStr">
        <is>
          <t>Minnesota</t>
        </is>
      </c>
      <c r="C25" s="12" t="inlineStr">
        <is>
          <t>Yes</t>
        </is>
      </c>
      <c r="D25" s="8" t="inlineStr">
        <is>
          <t>mn (TMDD/CARS)</t>
        </is>
      </c>
      <c r="E25" s="12" t="inlineStr">
        <is>
          <t>Yes</t>
        </is>
      </c>
      <c r="F25" s="8" t="n">
        <v>1528</v>
      </c>
      <c r="G25" s="15" t="inlineStr">
        <is>
          <t>No</t>
        </is>
      </c>
      <c r="H25" s="8" t="inlineStr"/>
      <c r="I25" s="8" t="inlineStr">
        <is>
          <t>Yes</t>
        </is>
      </c>
      <c r="J25" s="8" t="n">
        <v>2</v>
      </c>
      <c r="K25" s="8" t="inlineStr"/>
    </row>
    <row r="26">
      <c r="A26" s="30" t="inlineStr">
        <is>
          <t>MS</t>
        </is>
      </c>
      <c r="B26" s="31" t="inlineStr">
        <is>
          <t>Mississippi</t>
        </is>
      </c>
      <c r="C26" s="32" t="inlineStr">
        <is>
          <t>Yes</t>
        </is>
      </c>
      <c r="D26" s="31" t="inlineStr">
        <is>
          <t>mi (WZDx)</t>
        </is>
      </c>
      <c r="E26" s="33" t="inlineStr">
        <is>
          <t>No</t>
        </is>
      </c>
      <c r="F26" s="31" t="inlineStr"/>
      <c r="G26" s="33" t="inlineStr">
        <is>
          <t>No</t>
        </is>
      </c>
      <c r="H26" s="31" t="inlineStr"/>
      <c r="I26" s="31" t="inlineStr">
        <is>
          <t>Yes</t>
        </is>
      </c>
      <c r="J26" s="31" t="n">
        <v>1</v>
      </c>
      <c r="K26" s="31" t="inlineStr"/>
    </row>
    <row r="27">
      <c r="A27" s="30" t="inlineStr">
        <is>
          <t>MO</t>
        </is>
      </c>
      <c r="B27" s="31" t="inlineStr">
        <is>
          <t>Missouri</t>
        </is>
      </c>
      <c r="C27" s="32" t="inlineStr">
        <is>
          <t>Yes</t>
        </is>
      </c>
      <c r="D27" s="31" t="inlineStr">
        <is>
          <t>mo (WZDx)</t>
        </is>
      </c>
      <c r="E27" s="33" t="inlineStr">
        <is>
          <t>No</t>
        </is>
      </c>
      <c r="F27" s="31" t="inlineStr"/>
      <c r="G27" s="33" t="inlineStr">
        <is>
          <t>No</t>
        </is>
      </c>
      <c r="H27" s="31" t="inlineStr"/>
      <c r="I27" s="31" t="inlineStr">
        <is>
          <t>Yes</t>
        </is>
      </c>
      <c r="J27" s="31" t="n">
        <v>1</v>
      </c>
      <c r="K27" s="31" t="inlineStr"/>
    </row>
    <row r="28">
      <c r="A28" s="27" t="inlineStr">
        <is>
          <t>MT</t>
        </is>
      </c>
      <c r="B28" s="28" t="inlineStr">
        <is>
          <t>Montana</t>
        </is>
      </c>
      <c r="C28" s="29" t="inlineStr">
        <is>
          <t>No</t>
        </is>
      </c>
      <c r="D28" s="28" t="inlineStr"/>
      <c r="E28" s="29" t="inlineStr">
        <is>
          <t>No</t>
        </is>
      </c>
      <c r="F28" s="28" t="inlineStr"/>
      <c r="G28" s="29" t="inlineStr">
        <is>
          <t>No</t>
        </is>
      </c>
      <c r="H28" s="28" t="inlineStr"/>
      <c r="I28" s="28" t="inlineStr">
        <is>
          <t>Yes</t>
        </is>
      </c>
      <c r="J28" s="28" t="n">
        <v>0</v>
      </c>
      <c r="K28" s="28" t="inlineStr">
        <is>
          <t>No public feed found</t>
        </is>
      </c>
    </row>
    <row r="29">
      <c r="A29" s="30" t="inlineStr">
        <is>
          <t>NE</t>
        </is>
      </c>
      <c r="B29" s="31" t="inlineStr">
        <is>
          <t>Nebraska</t>
        </is>
      </c>
      <c r="C29" s="32" t="inlineStr">
        <is>
          <t>Yes</t>
        </is>
      </c>
      <c r="D29" s="31" t="inlineStr">
        <is>
          <t>ne (TMDD/CARS)</t>
        </is>
      </c>
      <c r="E29" s="33" t="inlineStr">
        <is>
          <t>No</t>
        </is>
      </c>
      <c r="F29" s="31" t="inlineStr"/>
      <c r="G29" s="33" t="inlineStr">
        <is>
          <t>No</t>
        </is>
      </c>
      <c r="H29" s="31" t="inlineStr"/>
      <c r="I29" s="31" t="inlineStr">
        <is>
          <t>Yes</t>
        </is>
      </c>
      <c r="J29" s="31" t="n">
        <v>1</v>
      </c>
      <c r="K29" s="31" t="inlineStr"/>
    </row>
    <row r="30">
      <c r="A30" s="18" t="inlineStr">
        <is>
          <t>NV</t>
        </is>
      </c>
      <c r="B30" s="5" t="inlineStr">
        <is>
          <t>Nevada</t>
        </is>
      </c>
      <c r="C30" s="6" t="inlineStr">
        <is>
          <t>Yes</t>
        </is>
      </c>
      <c r="D30" s="5" t="inlineStr">
        <is>
          <t>nv (TMDD/CARS)</t>
        </is>
      </c>
      <c r="E30" s="6" t="inlineStr">
        <is>
          <t>Yes</t>
        </is>
      </c>
      <c r="F30" s="5" t="n">
        <v>640</v>
      </c>
      <c r="G30" s="16" t="inlineStr">
        <is>
          <t>Key needed</t>
        </is>
      </c>
      <c r="H30" s="5" t="inlineStr"/>
      <c r="I30" s="5" t="inlineStr">
        <is>
          <t>Yes</t>
        </is>
      </c>
      <c r="J30" s="5" t="n">
        <v>2</v>
      </c>
      <c r="K30" s="5" t="inlineStr"/>
    </row>
    <row r="31">
      <c r="A31" s="27" t="inlineStr">
        <is>
          <t>NH</t>
        </is>
      </c>
      <c r="B31" s="28" t="inlineStr">
        <is>
          <t>New Hampshire</t>
        </is>
      </c>
      <c r="C31" s="29" t="inlineStr">
        <is>
          <t>No</t>
        </is>
      </c>
      <c r="D31" s="28" t="inlineStr"/>
      <c r="E31" s="29" t="inlineStr">
        <is>
          <t>No</t>
        </is>
      </c>
      <c r="F31" s="28" t="inlineStr"/>
      <c r="G31" s="29" t="inlineStr">
        <is>
          <t>No</t>
        </is>
      </c>
      <c r="H31" s="28" t="inlineStr"/>
      <c r="I31" s="28" t="inlineStr">
        <is>
          <t>Yes</t>
        </is>
      </c>
      <c r="J31" s="28" t="n">
        <v>0</v>
      </c>
      <c r="K31" s="28" t="inlineStr">
        <is>
          <t>No public feed found</t>
        </is>
      </c>
    </row>
    <row r="32">
      <c r="A32" s="30" t="inlineStr">
        <is>
          <t>NJ</t>
        </is>
      </c>
      <c r="B32" s="31" t="inlineStr">
        <is>
          <t>New Jersey</t>
        </is>
      </c>
      <c r="C32" s="32" t="inlineStr">
        <is>
          <t>Yes</t>
        </is>
      </c>
      <c r="D32" s="31" t="inlineStr">
        <is>
          <t>nj (WZDx)</t>
        </is>
      </c>
      <c r="E32" s="33" t="inlineStr">
        <is>
          <t>No</t>
        </is>
      </c>
      <c r="F32" s="31" t="inlineStr"/>
      <c r="G32" s="34" t="inlineStr">
        <is>
          <t>Key needed</t>
        </is>
      </c>
      <c r="H32" s="31" t="inlineStr"/>
      <c r="I32" s="31" t="inlineStr">
        <is>
          <t>Yes</t>
        </is>
      </c>
      <c r="J32" s="31" t="n">
        <v>1</v>
      </c>
      <c r="K32" s="31" t="inlineStr"/>
    </row>
    <row r="33">
      <c r="A33" s="30" t="inlineStr">
        <is>
          <t>NM</t>
        </is>
      </c>
      <c r="B33" s="31" t="inlineStr">
        <is>
          <t>New Mexico</t>
        </is>
      </c>
      <c r="C33" s="32" t="inlineStr">
        <is>
          <t>Yes</t>
        </is>
      </c>
      <c r="D33" s="31" t="inlineStr">
        <is>
          <t>nm (WZDx)</t>
        </is>
      </c>
      <c r="E33" s="33" t="inlineStr">
        <is>
          <t>No</t>
        </is>
      </c>
      <c r="F33" s="31" t="inlineStr"/>
      <c r="G33" s="34" t="inlineStr">
        <is>
          <t>Error</t>
        </is>
      </c>
      <c r="H33" s="31" t="inlineStr"/>
      <c r="I33" s="31" t="inlineStr">
        <is>
          <t>Yes</t>
        </is>
      </c>
      <c r="J33" s="31" t="n">
        <v>1</v>
      </c>
      <c r="K33" s="31" t="inlineStr"/>
    </row>
    <row r="34">
      <c r="A34" s="18" t="inlineStr">
        <is>
          <t>NY</t>
        </is>
      </c>
      <c r="B34" s="5" t="inlineStr">
        <is>
          <t>New York</t>
        </is>
      </c>
      <c r="C34" s="6" t="inlineStr">
        <is>
          <t>Yes</t>
        </is>
      </c>
      <c r="D34" s="5" t="inlineStr">
        <is>
          <t>ny (WZDx)</t>
        </is>
      </c>
      <c r="E34" s="6" t="inlineStr">
        <is>
          <t>Yes</t>
        </is>
      </c>
      <c r="F34" s="5" t="n">
        <v>1871</v>
      </c>
      <c r="G34" s="6" t="inlineStr">
        <is>
          <t>Yes</t>
        </is>
      </c>
      <c r="H34" s="5" t="n">
        <v>919</v>
      </c>
      <c r="I34" s="5" t="inlineStr">
        <is>
          <t>Yes</t>
        </is>
      </c>
      <c r="J34" s="5" t="n">
        <v>3</v>
      </c>
      <c r="K34" s="5" t="inlineStr"/>
    </row>
    <row r="35">
      <c r="A35" s="17" t="inlineStr">
        <is>
          <t>NC</t>
        </is>
      </c>
      <c r="B35" s="8" t="inlineStr">
        <is>
          <t>North Carolina</t>
        </is>
      </c>
      <c r="C35" s="12" t="inlineStr">
        <is>
          <t>Yes</t>
        </is>
      </c>
      <c r="D35" s="8" t="inlineStr">
        <is>
          <t>nc (WZDx)</t>
        </is>
      </c>
      <c r="E35" s="12" t="inlineStr">
        <is>
          <t>Yes</t>
        </is>
      </c>
      <c r="F35" s="8" t="n">
        <v>1140</v>
      </c>
      <c r="G35" s="14" t="inlineStr">
        <is>
          <t>Key needed</t>
        </is>
      </c>
      <c r="H35" s="8" t="inlineStr"/>
      <c r="I35" s="8" t="inlineStr">
        <is>
          <t>Yes</t>
        </is>
      </c>
      <c r="J35" s="8" t="n">
        <v>2</v>
      </c>
      <c r="K35" s="8" t="inlineStr"/>
    </row>
    <row r="36">
      <c r="A36" s="27" t="inlineStr">
        <is>
          <t>ND</t>
        </is>
      </c>
      <c r="B36" s="28" t="inlineStr">
        <is>
          <t>North Dakota</t>
        </is>
      </c>
      <c r="C36" s="29" t="inlineStr">
        <is>
          <t>No</t>
        </is>
      </c>
      <c r="D36" s="28" t="inlineStr"/>
      <c r="E36" s="29" t="inlineStr">
        <is>
          <t>No</t>
        </is>
      </c>
      <c r="F36" s="28" t="inlineStr"/>
      <c r="G36" s="29" t="inlineStr">
        <is>
          <t>No</t>
        </is>
      </c>
      <c r="H36" s="28" t="inlineStr"/>
      <c r="I36" s="28" t="inlineStr">
        <is>
          <t>Yes</t>
        </is>
      </c>
      <c r="J36" s="28" t="n">
        <v>0</v>
      </c>
      <c r="K36" s="28" t="inlineStr">
        <is>
          <t>No public feed found</t>
        </is>
      </c>
    </row>
    <row r="37">
      <c r="A37" s="30" t="inlineStr">
        <is>
          <t>OH</t>
        </is>
      </c>
      <c r="B37" s="31" t="inlineStr">
        <is>
          <t>Ohio</t>
        </is>
      </c>
      <c r="C37" s="32" t="inlineStr">
        <is>
          <t>Yes</t>
        </is>
      </c>
      <c r="D37" s="31" t="inlineStr">
        <is>
          <t>oh (TMDD/CARS)</t>
        </is>
      </c>
      <c r="E37" s="33" t="inlineStr">
        <is>
          <t>No</t>
        </is>
      </c>
      <c r="F37" s="31" t="inlineStr"/>
      <c r="G37" s="33" t="inlineStr">
        <is>
          <t>No</t>
        </is>
      </c>
      <c r="H37" s="31" t="inlineStr"/>
      <c r="I37" s="31" t="inlineStr">
        <is>
          <t>Yes</t>
        </is>
      </c>
      <c r="J37" s="31" t="n">
        <v>1</v>
      </c>
      <c r="K37" s="31" t="inlineStr"/>
    </row>
    <row r="38">
      <c r="A38" s="18" t="inlineStr">
        <is>
          <t>OK</t>
        </is>
      </c>
      <c r="B38" s="5" t="inlineStr">
        <is>
          <t>Oklahoma</t>
        </is>
      </c>
      <c r="C38" s="6" t="inlineStr">
        <is>
          <t>Yes</t>
        </is>
      </c>
      <c r="D38" s="5" t="inlineStr">
        <is>
          <t>ok (WZDx)</t>
        </is>
      </c>
      <c r="E38" s="13" t="inlineStr">
        <is>
          <t>No</t>
        </is>
      </c>
      <c r="F38" s="5" t="inlineStr"/>
      <c r="G38" s="6" t="inlineStr">
        <is>
          <t>Yes</t>
        </is>
      </c>
      <c r="H38" s="5" t="n">
        <v>167</v>
      </c>
      <c r="I38" s="5" t="inlineStr">
        <is>
          <t>Yes</t>
        </is>
      </c>
      <c r="J38" s="5" t="n">
        <v>2</v>
      </c>
      <c r="K38" s="5" t="inlineStr"/>
    </row>
    <row r="39">
      <c r="A39" s="27" t="inlineStr">
        <is>
          <t>OR</t>
        </is>
      </c>
      <c r="B39" s="28" t="inlineStr">
        <is>
          <t>Oregon</t>
        </is>
      </c>
      <c r="C39" s="29" t="inlineStr">
        <is>
          <t>No</t>
        </is>
      </c>
      <c r="D39" s="28" t="inlineStr"/>
      <c r="E39" s="29" t="inlineStr">
        <is>
          <t>No</t>
        </is>
      </c>
      <c r="F39" s="28" t="inlineStr"/>
      <c r="G39" s="29" t="inlineStr">
        <is>
          <t>No</t>
        </is>
      </c>
      <c r="H39" s="28" t="inlineStr"/>
      <c r="I39" s="28" t="inlineStr">
        <is>
          <t>Yes</t>
        </is>
      </c>
      <c r="J39" s="28" t="n">
        <v>0</v>
      </c>
      <c r="K39" s="28" t="inlineStr">
        <is>
          <t>TripCheck - API key required, not yet registered</t>
        </is>
      </c>
    </row>
    <row r="40">
      <c r="A40" s="18" t="inlineStr">
        <is>
          <t>PA</t>
        </is>
      </c>
      <c r="B40" s="5" t="inlineStr">
        <is>
          <t>Pennsylvania</t>
        </is>
      </c>
      <c r="C40" s="6" t="inlineStr">
        <is>
          <t>Yes</t>
        </is>
      </c>
      <c r="D40" s="5" t="inlineStr">
        <is>
          <t>pa (WZDx)</t>
        </is>
      </c>
      <c r="E40" s="6" t="inlineStr">
        <is>
          <t>Yes</t>
        </is>
      </c>
      <c r="F40" s="5" t="n">
        <v>1536</v>
      </c>
      <c r="G40" s="6" t="inlineStr">
        <is>
          <t>Yes</t>
        </is>
      </c>
      <c r="H40" s="5" t="n">
        <v>962</v>
      </c>
      <c r="I40" s="5" t="inlineStr">
        <is>
          <t>Yes</t>
        </is>
      </c>
      <c r="J40" s="5" t="n">
        <v>3</v>
      </c>
      <c r="K40" s="5" t="inlineStr"/>
    </row>
    <row r="41">
      <c r="A41" s="27" t="inlineStr">
        <is>
          <t>RI</t>
        </is>
      </c>
      <c r="B41" s="28" t="inlineStr">
        <is>
          <t>Rhode Island</t>
        </is>
      </c>
      <c r="C41" s="29" t="inlineStr">
        <is>
          <t>No</t>
        </is>
      </c>
      <c r="D41" s="28" t="inlineStr"/>
      <c r="E41" s="29" t="inlineStr">
        <is>
          <t>No</t>
        </is>
      </c>
      <c r="F41" s="28" t="inlineStr"/>
      <c r="G41" s="29" t="inlineStr">
        <is>
          <t>No</t>
        </is>
      </c>
      <c r="H41" s="28" t="inlineStr"/>
      <c r="I41" s="28" t="inlineStr">
        <is>
          <t>Yes</t>
        </is>
      </c>
      <c r="J41" s="28" t="n">
        <v>0</v>
      </c>
      <c r="K41" s="28" t="inlineStr">
        <is>
          <t>No public feed found</t>
        </is>
      </c>
    </row>
    <row r="42">
      <c r="A42" s="27" t="inlineStr">
        <is>
          <t>SC</t>
        </is>
      </c>
      <c r="B42" s="28" t="inlineStr">
        <is>
          <t>South Carolina</t>
        </is>
      </c>
      <c r="C42" s="29" t="inlineStr">
        <is>
          <t>No</t>
        </is>
      </c>
      <c r="D42" s="28" t="inlineStr"/>
      <c r="E42" s="29" t="inlineStr">
        <is>
          <t>No</t>
        </is>
      </c>
      <c r="F42" s="28" t="inlineStr"/>
      <c r="G42" s="29" t="inlineStr">
        <is>
          <t>No</t>
        </is>
      </c>
      <c r="H42" s="28" t="inlineStr"/>
      <c r="I42" s="28" t="inlineStr">
        <is>
          <t>Yes</t>
        </is>
      </c>
      <c r="J42" s="28" t="n">
        <v>0</v>
      </c>
      <c r="K42" s="28" t="inlineStr">
        <is>
          <t>No public feed found</t>
        </is>
      </c>
    </row>
    <row r="43">
      <c r="A43" s="27" t="inlineStr">
        <is>
          <t>SD</t>
        </is>
      </c>
      <c r="B43" s="28" t="inlineStr">
        <is>
          <t>South Dakota</t>
        </is>
      </c>
      <c r="C43" s="29" t="inlineStr">
        <is>
          <t>No</t>
        </is>
      </c>
      <c r="D43" s="28" t="inlineStr"/>
      <c r="E43" s="29" t="inlineStr">
        <is>
          <t>No</t>
        </is>
      </c>
      <c r="F43" s="28" t="inlineStr"/>
      <c r="G43" s="29" t="inlineStr">
        <is>
          <t>No</t>
        </is>
      </c>
      <c r="H43" s="28" t="inlineStr"/>
      <c r="I43" s="28" t="inlineStr">
        <is>
          <t>Yes</t>
        </is>
      </c>
      <c r="J43" s="28" t="n">
        <v>0</v>
      </c>
      <c r="K43" s="28" t="inlineStr">
        <is>
          <t>No public feed found</t>
        </is>
      </c>
    </row>
    <row r="44">
      <c r="A44" s="27" t="inlineStr">
        <is>
          <t>TN</t>
        </is>
      </c>
      <c r="B44" s="28" t="inlineStr">
        <is>
          <t>Tennessee</t>
        </is>
      </c>
      <c r="C44" s="29" t="inlineStr">
        <is>
          <t>No</t>
        </is>
      </c>
      <c r="D44" s="28" t="inlineStr"/>
      <c r="E44" s="29" t="inlineStr">
        <is>
          <t>No</t>
        </is>
      </c>
      <c r="F44" s="28" t="inlineStr"/>
      <c r="G44" s="29" t="inlineStr">
        <is>
          <t>No</t>
        </is>
      </c>
      <c r="H44" s="28" t="inlineStr"/>
      <c r="I44" s="28" t="inlineStr">
        <is>
          <t>Yes</t>
        </is>
      </c>
      <c r="J44" s="28" t="n">
        <v>0</v>
      </c>
      <c r="K44" s="28" t="inlineStr">
        <is>
          <t>511 service exists, no documented REST API</t>
        </is>
      </c>
    </row>
    <row r="45">
      <c r="A45" s="17" t="inlineStr">
        <is>
          <t>TX</t>
        </is>
      </c>
      <c r="B45" s="8" t="inlineStr">
        <is>
          <t>Texas</t>
        </is>
      </c>
      <c r="C45" s="12" t="inlineStr">
        <is>
          <t>Yes</t>
        </is>
      </c>
      <c r="D45" s="8" t="inlineStr">
        <is>
          <t>au (WZDx); tx (WZDx)</t>
        </is>
      </c>
      <c r="E45" s="12" t="inlineStr">
        <is>
          <t>Yes</t>
        </is>
      </c>
      <c r="F45" s="8" t="n">
        <v>1005</v>
      </c>
      <c r="G45" s="15" t="inlineStr">
        <is>
          <t>No</t>
        </is>
      </c>
      <c r="H45" s="8" t="inlineStr"/>
      <c r="I45" s="8" t="inlineStr">
        <is>
          <t>Yes</t>
        </is>
      </c>
      <c r="J45" s="8" t="n">
        <v>2</v>
      </c>
      <c r="K45" s="8" t="inlineStr"/>
    </row>
    <row r="46">
      <c r="A46" s="18" t="inlineStr">
        <is>
          <t>UT</t>
        </is>
      </c>
      <c r="B46" s="5" t="inlineStr">
        <is>
          <t>Utah</t>
        </is>
      </c>
      <c r="C46" s="6" t="inlineStr">
        <is>
          <t>Yes</t>
        </is>
      </c>
      <c r="D46" s="5" t="inlineStr">
        <is>
          <t>ut (TMDD/CARS)</t>
        </is>
      </c>
      <c r="E46" s="6" t="inlineStr">
        <is>
          <t>Yes</t>
        </is>
      </c>
      <c r="F46" s="5" t="n">
        <v>2075</v>
      </c>
      <c r="G46" s="16" t="inlineStr">
        <is>
          <t>Key needed</t>
        </is>
      </c>
      <c r="H46" s="5" t="inlineStr"/>
      <c r="I46" s="5" t="inlineStr">
        <is>
          <t>Yes</t>
        </is>
      </c>
      <c r="J46" s="5" t="n">
        <v>2</v>
      </c>
      <c r="K46" s="5" t="inlineStr"/>
    </row>
    <row r="47">
      <c r="A47" s="27" t="inlineStr">
        <is>
          <t>VT</t>
        </is>
      </c>
      <c r="B47" s="28" t="inlineStr">
        <is>
          <t>Vermont</t>
        </is>
      </c>
      <c r="C47" s="29" t="inlineStr">
        <is>
          <t>No</t>
        </is>
      </c>
      <c r="D47" s="28" t="inlineStr"/>
      <c r="E47" s="29" t="inlineStr">
        <is>
          <t>No</t>
        </is>
      </c>
      <c r="F47" s="28" t="inlineStr"/>
      <c r="G47" s="29" t="inlineStr">
        <is>
          <t>No</t>
        </is>
      </c>
      <c r="H47" s="28" t="inlineStr"/>
      <c r="I47" s="28" t="inlineStr">
        <is>
          <t>Yes</t>
        </is>
      </c>
      <c r="J47" s="28" t="n">
        <v>0</v>
      </c>
      <c r="K47" s="28" t="inlineStr">
        <is>
          <t>No public feed found</t>
        </is>
      </c>
    </row>
    <row r="48">
      <c r="A48" s="30" t="inlineStr">
        <is>
          <t>VA</t>
        </is>
      </c>
      <c r="B48" s="31" t="inlineStr">
        <is>
          <t>Virginia</t>
        </is>
      </c>
      <c r="C48" s="32" t="inlineStr">
        <is>
          <t>Yes</t>
        </is>
      </c>
      <c r="D48" s="31" t="inlineStr">
        <is>
          <t>va (WZDx)</t>
        </is>
      </c>
      <c r="E48" s="33" t="inlineStr">
        <is>
          <t>No</t>
        </is>
      </c>
      <c r="F48" s="31" t="inlineStr"/>
      <c r="G48" s="33" t="inlineStr">
        <is>
          <t>No</t>
        </is>
      </c>
      <c r="H48" s="31" t="inlineStr"/>
      <c r="I48" s="31" t="inlineStr">
        <is>
          <t>Yes</t>
        </is>
      </c>
      <c r="J48" s="31" t="n">
        <v>1</v>
      </c>
      <c r="K48" s="31" t="inlineStr"/>
    </row>
    <row r="49">
      <c r="A49" s="17" t="inlineStr">
        <is>
          <t>WA</t>
        </is>
      </c>
      <c r="B49" s="8" t="inlineStr">
        <is>
          <t>Washington</t>
        </is>
      </c>
      <c r="C49" s="12" t="inlineStr">
        <is>
          <t>Yes</t>
        </is>
      </c>
      <c r="D49" s="8" t="inlineStr">
        <is>
          <t>wa (WZDx)</t>
        </is>
      </c>
      <c r="E49" s="15" t="inlineStr">
        <is>
          <t>No</t>
        </is>
      </c>
      <c r="F49" s="8" t="inlineStr"/>
      <c r="G49" s="12" t="inlineStr">
        <is>
          <t>Yes</t>
        </is>
      </c>
      <c r="H49" s="8" t="n">
        <v>4</v>
      </c>
      <c r="I49" s="8" t="inlineStr">
        <is>
          <t>Yes</t>
        </is>
      </c>
      <c r="J49" s="8" t="n">
        <v>2</v>
      </c>
      <c r="K49" s="8" t="inlineStr"/>
    </row>
    <row r="50">
      <c r="A50" s="27" t="inlineStr">
        <is>
          <t>WV</t>
        </is>
      </c>
      <c r="B50" s="28" t="inlineStr">
        <is>
          <t>West Virginia</t>
        </is>
      </c>
      <c r="C50" s="29" t="inlineStr">
        <is>
          <t>No</t>
        </is>
      </c>
      <c r="D50" s="28" t="inlineStr"/>
      <c r="E50" s="29" t="inlineStr">
        <is>
          <t>No</t>
        </is>
      </c>
      <c r="F50" s="28" t="inlineStr"/>
      <c r="G50" s="29" t="inlineStr">
        <is>
          <t>No</t>
        </is>
      </c>
      <c r="H50" s="28" t="inlineStr"/>
      <c r="I50" s="28" t="inlineStr">
        <is>
          <t>Yes</t>
        </is>
      </c>
      <c r="J50" s="28" t="n">
        <v>0</v>
      </c>
      <c r="K50" s="28" t="inlineStr">
        <is>
          <t>No public feed found</t>
        </is>
      </c>
    </row>
    <row r="51">
      <c r="A51" s="30" t="inlineStr">
        <is>
          <t>WI</t>
        </is>
      </c>
      <c r="B51" s="31" t="inlineStr">
        <is>
          <t>Wisconsin</t>
        </is>
      </c>
      <c r="C51" s="32" t="inlineStr">
        <is>
          <t>Yes</t>
        </is>
      </c>
      <c r="D51" s="31" t="inlineStr">
        <is>
          <t>wi (WZDx)</t>
        </is>
      </c>
      <c r="E51" s="33" t="inlineStr">
        <is>
          <t>No</t>
        </is>
      </c>
      <c r="F51" s="31" t="inlineStr"/>
      <c r="G51" s="34" t="inlineStr">
        <is>
          <t>Key needed</t>
        </is>
      </c>
      <c r="H51" s="31" t="inlineStr"/>
      <c r="I51" s="31" t="inlineStr">
        <is>
          <t>Yes</t>
        </is>
      </c>
      <c r="J51" s="31" t="n">
        <v>1</v>
      </c>
      <c r="K51" s="31" t="inlineStr"/>
    </row>
    <row r="52">
      <c r="A52" s="27" t="inlineStr">
        <is>
          <t>WY</t>
        </is>
      </c>
      <c r="B52" s="28" t="inlineStr">
        <is>
          <t>Wyoming</t>
        </is>
      </c>
      <c r="C52" s="29" t="inlineStr">
        <is>
          <t>No</t>
        </is>
      </c>
      <c r="D52" s="28" t="inlineStr"/>
      <c r="E52" s="29" t="inlineStr">
        <is>
          <t>No</t>
        </is>
      </c>
      <c r="F52" s="28" t="inlineStr"/>
      <c r="G52" s="29" t="inlineStr">
        <is>
          <t>No</t>
        </is>
      </c>
      <c r="H52" s="28" t="inlineStr"/>
      <c r="I52" s="28" t="inlineStr">
        <is>
          <t>Yes</t>
        </is>
      </c>
      <c r="J52" s="28" t="n">
        <v>0</v>
      </c>
      <c r="K52" s="28" t="inlineStr">
        <is>
          <t>No public feed found</t>
        </is>
      </c>
    </row>
    <row r="53">
      <c r="A53" s="17" t="inlineStr"/>
      <c r="B53" s="17" t="inlineStr">
        <is>
          <t>TOTALS of 51 (50 states + DC)</t>
        </is>
      </c>
      <c r="C53" s="17" t="inlineStr">
        <is>
          <t>33 states</t>
        </is>
      </c>
      <c r="D53" s="17" t="inlineStr"/>
      <c r="E53" s="17" t="inlineStr">
        <is>
          <t>15 states</t>
        </is>
      </c>
      <c r="F53" s="17" t="n">
        <v>21941</v>
      </c>
      <c r="G53" s="17" t="inlineStr">
        <is>
          <t>9 live + IA</t>
        </is>
      </c>
      <c r="H53" s="17" t="n">
        <v>4601</v>
      </c>
      <c r="I53" s="17" t="inlineStr">
        <is>
          <t>51</t>
        </is>
      </c>
      <c r="J53" s="17" t="inlineStr"/>
      <c r="K53" s="17" t="inlineStr">
        <is>
          <t>17 have weather only: AL, AK, AR, CT, DC, MI, MT, NH, ND, OR, RI, SC, SD, TN, VT, WV, WY</t>
        </is>
      </c>
    </row>
  </sheetData>
  <autoFilter ref="A1:K52"/>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46"/>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46" customWidth="1" min="3" max="3"/>
    <col width="46" customWidth="1" min="4" max="4"/>
    <col width="26" customWidth="1" min="5" max="5"/>
    <col width="30" customWidth="1" min="6" max="6"/>
    <col width="40" customWidth="1" min="7" max="7"/>
  </cols>
  <sheetData>
    <row r="1" ht="28" customHeight="1">
      <c r="A1" s="4" t="inlineStr">
        <is>
          <t>Provider</t>
        </is>
      </c>
      <c r="B1" s="4" t="inlineStr">
        <is>
          <t>Service / endpoint</t>
        </is>
      </c>
      <c r="C1" s="4" t="inlineStr">
        <is>
          <t>URL or pattern</t>
        </is>
      </c>
      <c r="D1" s="4" t="inlineStr">
        <is>
          <t>Purpose in the Communicator</t>
        </is>
      </c>
      <c r="E1" s="4" t="inlineStr">
        <is>
          <t>Protocol / format</t>
        </is>
      </c>
      <c r="F1" s="4" t="inlineStr">
        <is>
          <t>Auth / key</t>
        </is>
      </c>
      <c r="G1" s="4" t="inlineStr">
        <is>
          <t>Consumed by</t>
        </is>
      </c>
    </row>
    <row r="2">
      <c r="A2" s="5" t="inlineStr">
        <is>
          <t>Work zone / event feeds</t>
        </is>
      </c>
      <c r="B2" s="5" t="inlineStr">
        <is>
          <t>State DOT WZDx &amp; CWZ feeds (37 registered)</t>
        </is>
      </c>
      <c r="C2" s="5" t="inlineStr">
        <is>
          <t>https://&lt;varies by state&gt; - see 'State Feed Registry' tab</t>
        </is>
      </c>
      <c r="D2" s="5" t="inlineStr">
        <is>
          <t>Primary work-zone event ingest for all covered states</t>
        </is>
      </c>
      <c r="E2" s="5" t="inlineStr">
        <is>
          <t>REST / GeoJSON (WZDx v4.x, CWZ 1.0)</t>
        </is>
      </c>
      <c r="F2" s="5" t="inlineStr">
        <is>
          <t>Mixed - 9 states require an API key</t>
        </is>
      </c>
      <c r="G2" s="5" t="inlineStr">
        <is>
          <t>services/event-adapters.js, services/wzdx-upgrade-service.js</t>
        </is>
      </c>
    </row>
    <row r="3">
      <c r="A3" s="8" t="inlineStr">
        <is>
          <t>Iowa DOT</t>
        </is>
      </c>
      <c r="B3" s="8" t="inlineStr">
        <is>
          <t>ArcGIS RoadClosures_public (AGOL)</t>
        </is>
      </c>
      <c r="C3" s="8" t="inlineStr">
        <is>
          <t>https://services.arcgis.com/8lRhdTsQyJpO52F1/... RoadClosures_public</t>
        </is>
      </c>
      <c r="D3" s="8" t="inlineStr">
        <is>
          <t>Iowa lane-closure planning data; conflict check in the CARS 511 builder</t>
        </is>
      </c>
      <c r="E3" s="8" t="inlineStr">
        <is>
          <t>ArcGIS REST / GeoJSON</t>
        </is>
      </c>
      <c r="F3" s="8" t="inlineStr">
        <is>
          <t>None (CORS-open)</t>
        </is>
      </c>
      <c r="G3" s="8" t="inlineStr">
        <is>
          <t>backend_proxy_server.js, frontend builders</t>
        </is>
      </c>
    </row>
    <row r="4">
      <c r="A4" s="5" t="inlineStr">
        <is>
          <t>Iowa DOT</t>
        </is>
      </c>
      <c r="B4" s="5" t="inlineStr">
        <is>
          <t>DMS_View (ArcGIS)</t>
        </is>
      </c>
      <c r="C4" s="5" t="inlineStr">
        <is>
          <t>https://services.arcgis.com/8lRhdTsQyJpO52F1/... DMS_View</t>
        </is>
      </c>
      <c r="D4" s="5" t="inlineStr">
        <is>
          <t>Live dynamic-message-sign text for DMS corroboration validator</t>
        </is>
      </c>
      <c r="E4" s="5" t="inlineStr">
        <is>
          <t>ArcGIS REST / JSON</t>
        </is>
      </c>
      <c r="F4" s="5" t="inlineStr">
        <is>
          <t>None</t>
        </is>
      </c>
      <c r="G4" s="5" t="inlineStr">
        <is>
          <t>services/dms-corroboration.js, services/device-adapters.js</t>
        </is>
      </c>
    </row>
    <row r="5">
      <c r="A5" s="8" t="inlineStr">
        <is>
          <t>Iowa DOT</t>
        </is>
      </c>
      <c r="B5" s="8" t="inlineStr">
        <is>
          <t>Traffic_Cameras_View (ArcGIS)</t>
        </is>
      </c>
      <c r="C5" s="8" t="inlineStr">
        <is>
          <t>https://services.arcgis.com/8lRhdTsQyJpO52F1/... Traffic_Cameras_View</t>
        </is>
      </c>
      <c r="D5" s="8" t="inlineStr">
        <is>
          <t>Camera inventory for the camera-validation validator</t>
        </is>
      </c>
      <c r="E5" s="8" t="inlineStr">
        <is>
          <t>ArcGIS REST / JSON</t>
        </is>
      </c>
      <c r="F5" s="8" t="inlineStr">
        <is>
          <t>None</t>
        </is>
      </c>
      <c r="G5" s="8" t="inlineStr">
        <is>
          <t>services/camera-adapters.js</t>
        </is>
      </c>
    </row>
    <row r="6">
      <c r="A6" s="5" t="inlineStr">
        <is>
          <t>Iowa DOT</t>
        </is>
      </c>
      <c r="B6" s="5" t="inlineStr">
        <is>
          <t>Reference_Post_View (ArcGIS) / RAMS</t>
        </is>
      </c>
      <c r="C6" s="5" t="inlineStr">
        <is>
          <t>https://gis.iowadot.gov/...</t>
        </is>
      </c>
      <c r="D6" s="5" t="inlineStr">
        <is>
          <t>Route reference posts / RAMS chainage for device-to-work-zone matching</t>
        </is>
      </c>
      <c r="E6" s="5" t="inlineStr">
        <is>
          <t>ArcGIS REST / JSON</t>
        </is>
      </c>
      <c r="F6" s="5" t="inlineStr">
        <is>
          <t>None</t>
        </is>
      </c>
      <c r="G6" s="5" t="inlineStr">
        <is>
          <t>services/rams-chainage.js, services/iowa-geometry-service.js</t>
        </is>
      </c>
    </row>
    <row r="7">
      <c r="A7" s="8" t="inlineStr">
        <is>
          <t>Iowa DOT</t>
        </is>
      </c>
      <c r="B7" s="8" t="inlineStr">
        <is>
          <t>ATMS camera snapshots</t>
        </is>
      </c>
      <c r="C7" s="8" t="inlineStr">
        <is>
          <t>https://atmsqf.iowadot.gov/snapshots/Public/...</t>
        </is>
      </c>
      <c r="D7" s="8" t="inlineStr">
        <is>
          <t>Rest-area &amp; truck-parking still images (parking occupancy + camera validation)</t>
        </is>
      </c>
      <c r="E7" s="8" t="inlineStr">
        <is>
          <t>HTTPS still images (JPEG)</t>
        </is>
      </c>
      <c r="F7" s="8" t="inlineStr">
        <is>
          <t>None</t>
        </is>
      </c>
      <c r="G7" s="8" t="inlineStr">
        <is>
          <t>truck_parking_service.js, services/camera-scan.js</t>
        </is>
      </c>
    </row>
    <row r="8">
      <c r="A8" s="5" t="inlineStr">
        <is>
          <t>Iowa DOT</t>
        </is>
      </c>
      <c r="B8" s="5" t="inlineStr">
        <is>
          <t>Iowa ATMS event feed</t>
        </is>
      </c>
      <c r="C8" s="5" t="inlineStr">
        <is>
          <t>https://iowa-atms.cloud-q-free.com/...</t>
        </is>
      </c>
      <c r="D8" s="5" t="inlineStr">
        <is>
          <t>Iowa work-zone/event source used by the WZDx upgrade service</t>
        </is>
      </c>
      <c r="E8" s="5" t="inlineStr">
        <is>
          <t>REST / JSON</t>
        </is>
      </c>
      <c r="F8" s="5" t="inlineStr">
        <is>
          <t>None</t>
        </is>
      </c>
      <c r="G8" s="5" t="inlineStr">
        <is>
          <t>services/wzdx-upgrade-service.js</t>
        </is>
      </c>
    </row>
    <row r="9">
      <c r="A9" s="8" t="inlineStr">
        <is>
          <t>Anthropic</t>
        </is>
      </c>
      <c r="B9" s="8" t="inlineStr">
        <is>
          <t>Messages API (Claude)</t>
        </is>
      </c>
      <c r="C9" s="8" t="inlineStr">
        <is>
          <t>https://api.anthropic.com/v1/messages</t>
        </is>
      </c>
      <c r="D9" s="8" t="inlineStr">
        <is>
          <t>Vision model for camera-based work-zone validation; AI analysis features</t>
        </is>
      </c>
      <c r="E9" s="8" t="inlineStr">
        <is>
          <t>REST / JSON</t>
        </is>
      </c>
      <c r="F9" s="8" t="inlineStr">
        <is>
          <t>ANTHROPIC_API_KEY / CLAUDE_API_KEY</t>
        </is>
      </c>
      <c r="G9" s="8" t="inlineStr">
        <is>
          <t>services/camera-validation.js</t>
        </is>
      </c>
    </row>
    <row r="10">
      <c r="A10" s="5" t="inlineStr">
        <is>
          <t>OpenAI</t>
        </is>
      </c>
      <c r="B10" s="5" t="inlineStr">
        <is>
          <t>Chat Completions</t>
        </is>
      </c>
      <c r="C10" s="5" t="inlineStr">
        <is>
          <t>https://api.openai.com/v1/chat/completions</t>
        </is>
      </c>
      <c r="D10" s="5" t="inlineStr">
        <is>
          <t>Alternate vision/LLM provider; GPT-facing assistant endpoints</t>
        </is>
      </c>
      <c r="E10" s="5" t="inlineStr">
        <is>
          <t>REST / JSON</t>
        </is>
      </c>
      <c r="F10" s="5" t="inlineStr">
        <is>
          <t>OPENAI_API_KEY</t>
        </is>
      </c>
      <c r="G10" s="5" t="inlineStr">
        <is>
          <t>services/camera-validation.js, backend_proxy_server.js</t>
        </is>
      </c>
    </row>
    <row r="11">
      <c r="A11" s="8" t="inlineStr">
        <is>
          <t>TomTom</t>
        </is>
      </c>
      <c r="B11" s="8" t="inlineStr">
        <is>
          <t>Traffic Incident Details v5</t>
        </is>
      </c>
      <c r="C11" s="8" t="inlineStr">
        <is>
          <t>https://api.tomtom.com/traffic/services/5/incidentDetails</t>
        </is>
      </c>
      <c r="D11" s="8" t="inlineStr">
        <is>
          <t>Commercial probe corroboration of reported work zones; deviation scorecard</t>
        </is>
      </c>
      <c r="E11" s="8" t="inlineStr">
        <is>
          <t>REST / JSON</t>
        </is>
      </c>
      <c r="F11" s="8" t="inlineStr">
        <is>
          <t>TOMTOM_API_KEY (daily budget cap)</t>
        </is>
      </c>
      <c r="G11" s="8" t="inlineStr">
        <is>
          <t>services/tomtom-incidents.js, tomtom-corroboration.js, tomtom-deviation.js</t>
        </is>
      </c>
    </row>
    <row r="12">
      <c r="A12" s="5" t="inlineStr">
        <is>
          <t>NOAA / NWS</t>
        </is>
      </c>
      <c r="B12" s="5" t="inlineStr">
        <is>
          <t>Active alerts</t>
        </is>
      </c>
      <c r="C12" s="5" t="inlineStr">
        <is>
          <t>https://api.weather.gov/alerts/active</t>
        </is>
      </c>
      <c r="D12" s="5" t="inlineStr">
        <is>
          <t>Weather alerts overlaid on the corridor map; IPAWS context</t>
        </is>
      </c>
      <c r="E12" s="5" t="inlineStr">
        <is>
          <t>REST / GeoJSON</t>
        </is>
      </c>
      <c r="F12" s="5" t="inlineStr">
        <is>
          <t>None (User-Agent required)</t>
        </is>
      </c>
      <c r="G12" s="5" t="inlineStr">
        <is>
          <t>services/nws-alerts.js</t>
        </is>
      </c>
    </row>
    <row r="13">
      <c r="A13" s="8" t="inlineStr">
        <is>
          <t>FHWA / BTS</t>
        </is>
      </c>
      <c r="B13" s="8" t="inlineStr">
        <is>
          <t>ARNOLD linear referencing (all-roads network)</t>
        </is>
      </c>
      <c r="C13" s="8" t="inlineStr">
        <is>
          <t>https://geo.dot.gov/server/rest/services/Hosted/ARNOLD_&lt;ST&gt;_&lt;YEAR&gt;/FeatureServer/0</t>
        </is>
      </c>
      <c r="D13" s="8" t="inlineStr">
        <is>
          <t>Route geometry / LRS used to build work-zone linework from route+milepost</t>
        </is>
      </c>
      <c r="E13" s="8" t="inlineStr">
        <is>
          <t>ArcGIS REST / JSON</t>
        </is>
      </c>
      <c r="F13" s="8" t="inlineStr">
        <is>
          <t>None</t>
        </is>
      </c>
      <c r="G13" s="8" t="inlineStr">
        <is>
          <t>services/arnold-geometry-service.js</t>
        </is>
      </c>
    </row>
    <row r="14">
      <c r="A14" s="5" t="inlineStr">
        <is>
          <t>FHWA / BTS</t>
        </is>
      </c>
      <c r="B14" s="5" t="inlineStr">
        <is>
          <t>RSU Deployment Locations (NTAD)</t>
        </is>
      </c>
      <c r="C14" s="5" t="inlineStr">
        <is>
          <t>https://geo.dot.gov/server/rest/services/Hosted/RSU_Deployment_Locations_.../FeatureServer/0</t>
        </is>
      </c>
      <c r="D14" s="5" t="inlineStr">
        <is>
          <t>Roadside-unit inventory for the V2X / connected-vehicle layer</t>
        </is>
      </c>
      <c r="E14" s="5" t="inlineStr">
        <is>
          <t>ArcGIS REST / JSON</t>
        </is>
      </c>
      <c r="F14" s="5" t="inlineStr">
        <is>
          <t>None</t>
        </is>
      </c>
      <c r="G14" s="5" t="inlineStr">
        <is>
          <t>backend_proxy_server.js</t>
        </is>
      </c>
    </row>
    <row r="15">
      <c r="A15" s="8" t="inlineStr">
        <is>
          <t>FHWA / BTS</t>
        </is>
      </c>
      <c r="B15" s="8" t="inlineStr">
        <is>
          <t>National Bridge Inventory (NTAD)</t>
        </is>
      </c>
      <c r="C15" s="8" t="inlineStr">
        <is>
          <t>https://services.arcgis.com/xOi1kZaI0eWDREZv/... NTAD_National_Bridge_Inventory</t>
        </is>
      </c>
      <c r="D15" s="8" t="inlineStr">
        <is>
          <t>Bridge vertical clearances for the OSOW clearance layer</t>
        </is>
      </c>
      <c r="E15" s="8" t="inlineStr">
        <is>
          <t>ArcGIS REST / JSON</t>
        </is>
      </c>
      <c r="F15" s="8" t="inlineStr">
        <is>
          <t>None</t>
        </is>
      </c>
      <c r="G15" s="8" t="inlineStr">
        <is>
          <t>services/nbi-clearance.js</t>
        </is>
      </c>
    </row>
    <row r="16">
      <c r="A16" s="5" t="inlineStr">
        <is>
          <t>NHTSA</t>
        </is>
      </c>
      <c r="B16" s="5" t="inlineStr">
        <is>
          <t>FARS national CSV archives</t>
        </is>
      </c>
      <c r="C16" s="5" t="inlineStr">
        <is>
          <t>https://static.nhtsa.gov/nhtsa/downloads/FARS/&lt;year&gt;/National/FARS&lt;year&gt;NationalCSV.zip</t>
        </is>
      </c>
      <c r="D16" s="5" t="inlineStr">
        <is>
          <t>Historical fatal-crash records for the crash analytics feature</t>
        </is>
      </c>
      <c r="E16" s="5" t="inlineStr">
        <is>
          <t>HTTPS bulk CSV (zip)</t>
        </is>
      </c>
      <c r="F16" s="5" t="inlineStr">
        <is>
          <t>None</t>
        </is>
      </c>
      <c r="G16" s="5" t="inlineStr">
        <is>
          <t>services/crash-data-service.js</t>
        </is>
      </c>
    </row>
    <row r="17">
      <c r="A17" s="8" t="inlineStr">
        <is>
          <t>Grants.gov</t>
        </is>
      </c>
      <c r="B17" s="8" t="inlineStr">
        <is>
          <t>Search2 / fetchOpportunity</t>
        </is>
      </c>
      <c r="C17" s="8" t="inlineStr">
        <is>
          <t>https://api.grants.gov/v1/api/search2, /fetchOpportunity</t>
        </is>
      </c>
      <c r="D17" s="8" t="inlineStr">
        <is>
          <t>Federal funding-opportunity discovery for the grants module</t>
        </is>
      </c>
      <c r="E17" s="8" t="inlineStr">
        <is>
          <t>REST / JSON</t>
        </is>
      </c>
      <c r="F17" s="8" t="inlineStr">
        <is>
          <t>None</t>
        </is>
      </c>
      <c r="G17" s="8" t="inlineStr">
        <is>
          <t>services/grants-service.js</t>
        </is>
      </c>
    </row>
    <row r="18">
      <c r="A18" s="5" t="inlineStr">
        <is>
          <t>US Census Bureau</t>
        </is>
      </c>
      <c r="B18" s="5" t="inlineStr">
        <is>
          <t>Decennial PL + TIGERweb</t>
        </is>
      </c>
      <c r="C18" s="5" t="inlineStr">
        <is>
          <t>https://api.census.gov/data/2020/dec/pl, https://tigerweb.geo.census.gov</t>
        </is>
      </c>
      <c r="D18" s="5" t="inlineStr">
        <is>
          <t>Population exposure for population-aware IPAWS alerting</t>
        </is>
      </c>
      <c r="E18" s="5" t="inlineStr">
        <is>
          <t>REST / JSON</t>
        </is>
      </c>
      <c r="F18" s="5" t="inlineStr">
        <is>
          <t>CENSUS_API_KEY</t>
        </is>
      </c>
      <c r="G18" s="5" t="inlineStr">
        <is>
          <t>services/population-density-service.js</t>
        </is>
      </c>
    </row>
    <row r="19">
      <c r="A19" s="8" t="inlineStr">
        <is>
          <t>OpenStreetMap</t>
        </is>
      </c>
      <c r="B19" s="8" t="inlineStr">
        <is>
          <t>Overpass API</t>
        </is>
      </c>
      <c r="C19" s="8" t="inlineStr">
        <is>
          <t>https://overpass-api.de/api/interpreter</t>
        </is>
      </c>
      <c r="D19" s="8" t="inlineStr">
        <is>
          <t>Ad-hoc POI / road geometry lookups for population + routing context</t>
        </is>
      </c>
      <c r="E19" s="8" t="inlineStr">
        <is>
          <t>REST / JSON</t>
        </is>
      </c>
      <c r="F19" s="8" t="inlineStr">
        <is>
          <t>None (fair-use)</t>
        </is>
      </c>
      <c r="G19" s="8" t="inlineStr">
        <is>
          <t>services/population-density-service.js</t>
        </is>
      </c>
    </row>
    <row r="20">
      <c r="A20" s="5" t="inlineStr">
        <is>
          <t>OpenStreetMap</t>
        </is>
      </c>
      <c r="B20" s="5" t="inlineStr">
        <is>
          <t>Nominatim geocoding</t>
        </is>
      </c>
      <c r="C20" s="5" t="inlineStr">
        <is>
          <t>https://nominatim.openstreetmap.org</t>
        </is>
      </c>
      <c r="D20" s="5" t="inlineStr">
        <is>
          <t>Place-name geocoding</t>
        </is>
      </c>
      <c r="E20" s="5" t="inlineStr">
        <is>
          <t>REST / JSON</t>
        </is>
      </c>
      <c r="F20" s="5" t="inlineStr">
        <is>
          <t>None (fair-use)</t>
        </is>
      </c>
      <c r="G20" s="5" t="inlineStr">
        <is>
          <t>services/population-density-service.js</t>
        </is>
      </c>
    </row>
    <row r="21">
      <c r="A21" s="8" t="inlineStr">
        <is>
          <t>Project OSRM</t>
        </is>
      </c>
      <c r="B21" s="8" t="inlineStr">
        <is>
          <t>Route service v1</t>
        </is>
      </c>
      <c r="C21" s="8" t="inlineStr">
        <is>
          <t>https://router.project-osrm.org/route/v1/driving/...</t>
        </is>
      </c>
      <c r="D21" s="8" t="inlineStr">
        <is>
          <t>Detour / diversion-route geometry and travel-time estimates</t>
        </is>
      </c>
      <c r="E21" s="8" t="inlineStr">
        <is>
          <t>REST / JSON (GeoJSON overview)</t>
        </is>
      </c>
      <c r="F21" s="8" t="inlineStr">
        <is>
          <t>None (public demo server)</t>
        </is>
      </c>
      <c r="G21" s="8" t="inlineStr">
        <is>
          <t>backend_proxy_server.js, services/ipaws-alert-service.js</t>
        </is>
      </c>
    </row>
    <row r="22">
      <c r="A22" s="5" t="inlineStr">
        <is>
          <t>U.S. CBP</t>
        </is>
      </c>
      <c r="B22" s="5" t="inlineStr">
        <is>
          <t>Border wait times</t>
        </is>
      </c>
      <c r="C22" s="5" t="inlineStr">
        <is>
          <t>https://bwt.cbp.gov/api/waittimes</t>
        </is>
      </c>
      <c r="D22" s="5" t="inlineStr">
        <is>
          <t>Border crossing wait times for freight corridor views</t>
        </is>
      </c>
      <c r="E22" s="5" t="inlineStr">
        <is>
          <t>REST / JSON</t>
        </is>
      </c>
      <c r="F22" s="5" t="inlineStr">
        <is>
          <t>None</t>
        </is>
      </c>
      <c r="G22" s="5" t="inlineStr">
        <is>
          <t>services/border-wait-times.js</t>
        </is>
      </c>
    </row>
    <row r="23">
      <c r="A23" s="8" t="inlineStr">
        <is>
          <t>MAASTO / TPIMS</t>
        </is>
      </c>
      <c r="B23" s="8" t="inlineStr">
        <is>
          <t>TPIMS Static + Dynamic</t>
        </is>
      </c>
      <c r="C23" s="8" t="inlineStr">
        <is>
          <t>https://truckparking.travelmidwest.com/TPIMS_Static.json, /TPIMS_Dynamic.json</t>
        </is>
      </c>
      <c r="D23" s="8" t="inlineStr">
        <is>
          <t>Regional truck-parking availability (MAASTO multi-state)</t>
        </is>
      </c>
      <c r="E23" s="8" t="inlineStr">
        <is>
          <t>REST / JSON</t>
        </is>
      </c>
      <c r="F23" s="8" t="inlineStr">
        <is>
          <t>None</t>
        </is>
      </c>
      <c r="G23" s="8" t="inlineStr">
        <is>
          <t>services/maasto-tpims.js</t>
        </is>
      </c>
    </row>
    <row r="24">
      <c r="A24" s="5" t="inlineStr">
        <is>
          <t>MnDOT</t>
        </is>
      </c>
      <c r="B24" s="5" t="inlineStr">
        <is>
          <t>IRIS / travel-midwest parking feeds</t>
        </is>
      </c>
      <c r="C24" s="5" t="inlineStr">
        <is>
          <t>http://iris.dot.state.mn.us, https://transportal.cee.wisc.edu, http://www.trimarc.org</t>
        </is>
      </c>
      <c r="D24" s="5" t="inlineStr">
        <is>
          <t>Supplemental truck-parking and device sources</t>
        </is>
      </c>
      <c r="E24" s="5" t="inlineStr">
        <is>
          <t>REST / XML+JSON</t>
        </is>
      </c>
      <c r="F24" s="5" t="inlineStr">
        <is>
          <t>None</t>
        </is>
      </c>
      <c r="G24" s="5" t="inlineStr">
        <is>
          <t>services/maasto-tpims.js</t>
        </is>
      </c>
    </row>
    <row r="25">
      <c r="A25" s="8" t="inlineStr">
        <is>
          <t>Ticketmaster</t>
        </is>
      </c>
      <c r="B25" s="8" t="inlineStr">
        <is>
          <t>Discovery API v2</t>
        </is>
      </c>
      <c r="C25" s="8" t="inlineStr">
        <is>
          <t>https://app.ticketmaster.com/discovery/v2/events.json</t>
        </is>
      </c>
      <c r="D25" s="8" t="inlineStr">
        <is>
          <t>Major-event demand surges near the corridor</t>
        </is>
      </c>
      <c r="E25" s="8" t="inlineStr">
        <is>
          <t>REST / JSON</t>
        </is>
      </c>
      <c r="F25" s="8" t="inlineStr">
        <is>
          <t>TICKETMASTER_API_KEY (not yet set)</t>
        </is>
      </c>
      <c r="G25" s="8" t="inlineStr">
        <is>
          <t>services/ticketmaster-service.js</t>
        </is>
      </c>
    </row>
    <row r="26">
      <c r="A26" s="5" t="inlineStr">
        <is>
          <t>PredictHQ</t>
        </is>
      </c>
      <c r="B26" s="5" t="inlineStr">
        <is>
          <t>Events API v1</t>
        </is>
      </c>
      <c r="C26" s="5" t="inlineStr">
        <is>
          <t>https://api.predicthq.com/v1/events/</t>
        </is>
      </c>
      <c r="D26" s="5" t="inlineStr">
        <is>
          <t>Alternate demand-surge event source (Ticketmaster substitute)</t>
        </is>
      </c>
      <c r="E26" s="5" t="inlineStr">
        <is>
          <t>REST / JSON</t>
        </is>
      </c>
      <c r="F26" s="5" t="inlineStr">
        <is>
          <t>PredictHQ token</t>
        </is>
      </c>
      <c r="G26" s="5" t="inlineStr">
        <is>
          <t>services/predicthq-service.js</t>
        </is>
      </c>
    </row>
    <row r="27">
      <c r="A27" s="8" t="inlineStr">
        <is>
          <t>Caltrans</t>
        </is>
      </c>
      <c r="B27" s="8" t="inlineStr">
        <is>
          <t>State Highway Network centerlines</t>
        </is>
      </c>
      <c r="C27" s="8" t="inlineStr">
        <is>
          <t>https://caltrans-gis.dot.ca.gov/...</t>
        </is>
      </c>
      <c r="D27" s="8" t="inlineStr">
        <is>
          <t>State-centerline-first geometry for CA work zones (ARNOLD route_id mismatch fix)</t>
        </is>
      </c>
      <c r="E27" s="8" t="inlineStr">
        <is>
          <t>ArcGIS REST / JSON</t>
        </is>
      </c>
      <c r="F27" s="8" t="inlineStr">
        <is>
          <t>None</t>
        </is>
      </c>
      <c r="G27" s="8" t="inlineStr">
        <is>
          <t>services/state-centerline-service.js</t>
        </is>
      </c>
    </row>
    <row r="28">
      <c r="A28" s="5" t="inlineStr">
        <is>
          <t>State DOTs (multi)</t>
        </is>
      </c>
      <c r="B28" s="5" t="inlineStr">
        <is>
          <t>Milepost / roadway centerline ArcGIS services</t>
        </is>
      </c>
      <c r="C28" s="5" t="inlineStr">
        <is>
          <t>TxDOT, NJDOT, IL, MO, WY, MA, CO and others - see notes column</t>
        </is>
      </c>
      <c r="D28" s="5" t="inlineStr">
        <is>
          <t>Route+milepost geometry per state for chainage and zone linework</t>
        </is>
      </c>
      <c r="E28" s="5" t="inlineStr">
        <is>
          <t>ArcGIS REST / JSON</t>
        </is>
      </c>
      <c r="F28" s="5" t="inlineStr">
        <is>
          <t>None</t>
        </is>
      </c>
      <c r="G28" s="5" t="inlineStr">
        <is>
          <t>services/state-centerline-service.js, rams-chainage.js</t>
        </is>
      </c>
    </row>
    <row r="29">
      <c r="A29" s="8" t="inlineStr">
        <is>
          <t>State DOTs (multi)</t>
        </is>
      </c>
      <c r="B29" s="8" t="inlineStr">
        <is>
          <t>Traffic camera feeds</t>
        </is>
      </c>
      <c r="C29" s="8" t="inlineStr">
        <is>
          <t>Itemized on the 'Camera Sources' tab - 15 state networks, 21941 cameras</t>
        </is>
      </c>
      <c r="D29" s="8" t="inlineStr">
        <is>
          <t>Camera imagery for the camera-validation validator</t>
        </is>
      </c>
      <c r="E29" s="8" t="inlineStr">
        <is>
          <t>HTTPS images / REST JSON</t>
        </is>
      </c>
      <c r="F29" s="8" t="inlineStr">
        <is>
          <t>Mixed</t>
        </is>
      </c>
      <c r="G29" s="8" t="inlineStr">
        <is>
          <t>services/camera-adapters.js</t>
        </is>
      </c>
    </row>
    <row r="30">
      <c r="A30" s="5" t="inlineStr">
        <is>
          <t>State DOTs (multi)</t>
        </is>
      </c>
      <c r="B30" s="5" t="inlineStr">
        <is>
          <t>Connected field-device feeds</t>
        </is>
      </c>
      <c r="C30" s="5" t="inlineStr">
        <is>
          <t>Itemized on the 'DMS + Device Sources' tab - 18 state feeds, 4601 signs/devices from the 10 keyless ones</t>
        </is>
      </c>
      <c r="D30" s="5" t="inlineStr">
        <is>
          <t>Arrow boards, portable DMS, smart barrels for the device validator</t>
        </is>
      </c>
      <c r="E30" s="5" t="inlineStr">
        <is>
          <t>REST / JSON, ArcGIS REST</t>
        </is>
      </c>
      <c r="F30" s="5" t="inlineStr">
        <is>
          <t>Mixed</t>
        </is>
      </c>
      <c r="G30" s="5" t="inlineStr">
        <is>
          <t>services/device-adapters.js</t>
        </is>
      </c>
    </row>
    <row r="31">
      <c r="A31" s="8" t="inlineStr">
        <is>
          <t>Blyncsy (Bentley)</t>
        </is>
      </c>
      <c r="B31" s="8" t="inlineStr">
        <is>
          <t>WZDx feed hosting</t>
        </is>
      </c>
      <c r="C31" s="8" t="inlineStr">
        <is>
          <t>https://ai.blyncsy.io/wzdx/&lt;agency&gt;/feed</t>
        </is>
      </c>
      <c r="D31" s="8" t="inlineStr">
        <is>
          <t>Hosted WZDx feeds for states that publish via Blyncsy (e.g. Hawaii)</t>
        </is>
      </c>
      <c r="E31" s="8" t="inlineStr">
        <is>
          <t>REST / GeoJSON</t>
        </is>
      </c>
      <c r="F31" s="8" t="inlineStr">
        <is>
          <t>None</t>
        </is>
      </c>
      <c r="G31" s="8" t="inlineStr">
        <is>
          <t>services/wzdx-upgrade-service.js</t>
        </is>
      </c>
    </row>
    <row r="32">
      <c r="A32" s="5" t="inlineStr">
        <is>
          <t>One.Network</t>
        </is>
      </c>
      <c r="B32" s="5" t="inlineStr">
        <is>
          <t>Hosted state feed (FDOT)</t>
        </is>
      </c>
      <c r="C32" s="5" t="inlineStr">
        <is>
          <t>https://us-datacloud.one.network/fdot/feed.json</t>
        </is>
      </c>
      <c r="D32" s="5" t="inlineStr">
        <is>
          <t>Florida DOT WZDx feed</t>
        </is>
      </c>
      <c r="E32" s="5" t="inlineStr">
        <is>
          <t>REST / JSON</t>
        </is>
      </c>
      <c r="F32" s="5" t="inlineStr">
        <is>
          <t>app_key</t>
        </is>
      </c>
      <c r="G32" s="5" t="inlineStr">
        <is>
          <t>services/wzdx-upgrade-service.js</t>
        </is>
      </c>
    </row>
    <row r="33">
      <c r="A33" s="8" t="inlineStr">
        <is>
          <t>Iteris</t>
        </is>
      </c>
      <c r="B33" s="8" t="inlineStr">
        <is>
          <t>511 ATIS feeds</t>
        </is>
      </c>
      <c r="C33" s="8" t="inlineStr">
        <is>
          <t>https://data.511-atis-ttrip-prod.iteriscloud.com</t>
        </is>
      </c>
      <c r="D33" s="8" t="inlineStr">
        <is>
          <t>Hosted state ATIS/WZDx feeds</t>
        </is>
      </c>
      <c r="E33" s="8" t="inlineStr">
        <is>
          <t>REST / JSON</t>
        </is>
      </c>
      <c r="F33" s="8" t="inlineStr">
        <is>
          <t>Mixed</t>
        </is>
      </c>
      <c r="G33" s="8" t="inlineStr">
        <is>
          <t>services/wzdx-upgrade-service.js</t>
        </is>
      </c>
    </row>
    <row r="34">
      <c r="A34" s="5" t="inlineStr">
        <is>
          <t>RITIS (UMD CATT Lab)</t>
        </is>
      </c>
      <c r="B34" s="5" t="inlineStr">
        <is>
          <t>MDOT WZDx mirror</t>
        </is>
      </c>
      <c r="C34" s="5" t="inlineStr">
        <is>
          <t>https://filter.ritis.org/wzdx_v4.1/mdot.geojson</t>
        </is>
      </c>
      <c r="D34" s="5" t="inlineStr">
        <is>
          <t>Maryland work-zone feed</t>
        </is>
      </c>
      <c r="E34" s="5" t="inlineStr">
        <is>
          <t>REST / GeoJSON</t>
        </is>
      </c>
      <c r="F34" s="5" t="inlineStr">
        <is>
          <t>None</t>
        </is>
      </c>
      <c r="G34" s="5" t="inlineStr">
        <is>
          <t>services/wzdx-upgrade-service.js</t>
        </is>
      </c>
    </row>
    <row r="35">
      <c r="A35" s="8" t="inlineStr">
        <is>
          <t>CARS Program</t>
        </is>
      </c>
      <c r="B35" s="8" t="inlineStr">
        <is>
          <t>Multi-state CARS feeds</t>
        </is>
      </c>
      <c r="C35" s="8" t="inlineStr">
        <is>
          <t>https://mn.carsprogram.org, in.carsprogram.org, ks.carsprogram.org, public.carsprogram.org</t>
        </is>
      </c>
      <c r="D35" s="8" t="inlineStr">
        <is>
          <t>MN/IN/KS work-zone and camera sources</t>
        </is>
      </c>
      <c r="E35" s="8" t="inlineStr">
        <is>
          <t>REST / JSON</t>
        </is>
      </c>
      <c r="F35" s="8" t="inlineStr">
        <is>
          <t>None</t>
        </is>
      </c>
      <c r="G35" s="8" t="inlineStr">
        <is>
          <t>services/wzdx-upgrade-service.js, camera-adapters.js</t>
        </is>
      </c>
    </row>
    <row r="36">
      <c r="A36" s="5" t="inlineStr">
        <is>
          <t>KYTC</t>
        </is>
      </c>
      <c r="B36" s="5" t="inlineStr">
        <is>
          <t>WZDx on Google Cloud Storage</t>
        </is>
      </c>
      <c r="C36" s="5" t="inlineStr">
        <is>
          <t>https://storage.googleapis.com/kytc-its-2020-openrecords/.../wzdx.geojson</t>
        </is>
      </c>
      <c r="D36" s="5" t="inlineStr">
        <is>
          <t>Kentucky work-zone feed</t>
        </is>
      </c>
      <c r="E36" s="5" t="inlineStr">
        <is>
          <t>HTTPS static GeoJSON</t>
        </is>
      </c>
      <c r="F36" s="5" t="inlineStr">
        <is>
          <t>None</t>
        </is>
      </c>
      <c r="G36" s="5" t="inlineStr">
        <is>
          <t>services/wzdx-upgrade-service.js</t>
        </is>
      </c>
    </row>
    <row r="37">
      <c r="A37" s="8" t="inlineStr">
        <is>
          <t>NJIT</t>
        </is>
      </c>
      <c r="B37" s="8" t="inlineStr">
        <is>
          <t>Smart work zones</t>
        </is>
      </c>
      <c r="C37" s="8" t="inlineStr">
        <is>
          <t>https://smartworkzones.njit.edu</t>
        </is>
      </c>
      <c r="D37" s="8" t="inlineStr">
        <is>
          <t>New Jersey smart work-zone data</t>
        </is>
      </c>
      <c r="E37" s="8" t="inlineStr">
        <is>
          <t>REST / JSON</t>
        </is>
      </c>
      <c r="F37" s="8" t="inlineStr">
        <is>
          <t>None</t>
        </is>
      </c>
      <c r="G37" s="8" t="inlineStr">
        <is>
          <t>services/wzdx-upgrade-service.js</t>
        </is>
      </c>
    </row>
    <row r="38">
      <c r="A38" s="5" t="inlineStr">
        <is>
          <t>SendGrid</t>
        </is>
      </c>
      <c r="B38" s="5" t="inlineStr">
        <is>
          <t>Mail send</t>
        </is>
      </c>
      <c r="C38" s="5" t="inlineStr">
        <is>
          <t>SendGrid v3 API</t>
        </is>
      </c>
      <c r="D38" s="5" t="inlineStr">
        <is>
          <t>Alert e-mail delivery</t>
        </is>
      </c>
      <c r="E38" s="5" t="inlineStr">
        <is>
          <t>REST / JSON</t>
        </is>
      </c>
      <c r="F38" s="5" t="inlineStr">
        <is>
          <t>SENDGRID_API_KEY</t>
        </is>
      </c>
      <c r="G38" s="5" t="inlineStr">
        <is>
          <t>services/notification-service.js, email-service.js</t>
        </is>
      </c>
    </row>
    <row r="39">
      <c r="A39" s="8" t="inlineStr">
        <is>
          <t>Twilio</t>
        </is>
      </c>
      <c r="B39" s="8" t="inlineStr">
        <is>
          <t>Programmable SMS</t>
        </is>
      </c>
      <c r="C39" s="8" t="inlineStr">
        <is>
          <t>Twilio REST API</t>
        </is>
      </c>
      <c r="D39" s="8" t="inlineStr">
        <is>
          <t>Alert SMS delivery</t>
        </is>
      </c>
      <c r="E39" s="8" t="inlineStr">
        <is>
          <t>REST / JSON</t>
        </is>
      </c>
      <c r="F39" s="8" t="inlineStr">
        <is>
          <t>TWILIO_ACCOUNT_SID / TWILIO_AUTH_TOKEN</t>
        </is>
      </c>
      <c r="G39" s="8" t="inlineStr">
        <is>
          <t>services/notification-service.js</t>
        </is>
      </c>
    </row>
    <row r="40">
      <c r="A40" s="5" t="inlineStr">
        <is>
          <t>Slack</t>
        </is>
      </c>
      <c r="B40" s="5" t="inlineStr">
        <is>
          <t>Incoming webhook</t>
        </is>
      </c>
      <c r="C40" s="5" t="inlineStr">
        <is>
          <t>SLACK_WEBHOOK_URL</t>
        </is>
      </c>
      <c r="D40" s="5" t="inlineStr">
        <is>
          <t>Operational alert routing</t>
        </is>
      </c>
      <c r="E40" s="5" t="inlineStr">
        <is>
          <t>Webhook / JSON</t>
        </is>
      </c>
      <c r="F40" s="5" t="inlineStr">
        <is>
          <t>Webhook URL secret</t>
        </is>
      </c>
      <c r="G40" s="5" t="inlineStr">
        <is>
          <t>services/notification-service.js</t>
        </is>
      </c>
    </row>
    <row r="41">
      <c r="A41" s="8" t="inlineStr">
        <is>
          <t>Microsoft Teams</t>
        </is>
      </c>
      <c r="B41" s="8" t="inlineStr">
        <is>
          <t>Incoming webhook</t>
        </is>
      </c>
      <c r="C41" s="8" t="inlineStr">
        <is>
          <t>TEAMS_WEBHOOK_URL</t>
        </is>
      </c>
      <c r="D41" s="8" t="inlineStr">
        <is>
          <t>Operational alert routing</t>
        </is>
      </c>
      <c r="E41" s="8" t="inlineStr">
        <is>
          <t>Webhook / JSON</t>
        </is>
      </c>
      <c r="F41" s="8" t="inlineStr">
        <is>
          <t>Webhook URL secret</t>
        </is>
      </c>
      <c r="G41" s="8" t="inlineStr">
        <is>
          <t>services/notification-service.js</t>
        </is>
      </c>
    </row>
    <row r="42">
      <c r="A42" s="5" t="inlineStr">
        <is>
          <t>ServiceNow</t>
        </is>
      </c>
      <c r="B42" s="5" t="inlineStr">
        <is>
          <t>Incident table API</t>
        </is>
      </c>
      <c r="C42" s="5" t="inlineStr">
        <is>
          <t>SERVICENOW_INSTANCE_URL</t>
        </is>
      </c>
      <c r="D42" s="5" t="inlineStr">
        <is>
          <t>Ticketing for asset-health / sensor alerts</t>
        </is>
      </c>
      <c r="E42" s="5" t="inlineStr">
        <is>
          <t>REST / JSON</t>
        </is>
      </c>
      <c r="F42" s="5" t="inlineStr">
        <is>
          <t>SERVICENOW_USERNAME / PASSWORD</t>
        </is>
      </c>
      <c r="G42" s="5" t="inlineStr">
        <is>
          <t>services/notification-service.js</t>
        </is>
      </c>
    </row>
    <row r="43">
      <c r="A43" s="8" t="inlineStr">
        <is>
          <t>S3-compatible object store</t>
        </is>
      </c>
      <c r="B43" s="8" t="inlineStr">
        <is>
          <t>Bucket API</t>
        </is>
      </c>
      <c r="C43" s="8" t="inlineStr">
        <is>
          <t>S3_ENDPOINT</t>
        </is>
      </c>
      <c r="D43" s="8" t="inlineStr">
        <is>
          <t>Aerial-overlay imagery and large-file storage</t>
        </is>
      </c>
      <c r="E43" s="8" t="inlineStr">
        <is>
          <t>S3 REST</t>
        </is>
      </c>
      <c r="F43" s="8" t="inlineStr">
        <is>
          <t>S3_ACCESS_KEY_ID / S3_SECRET_ACCESS_KEY</t>
        </is>
      </c>
      <c r="G43" s="8" t="inlineStr">
        <is>
          <t>services/aerial-overlays.js</t>
        </is>
      </c>
    </row>
    <row r="44">
      <c r="A44" s="5" t="inlineStr">
        <is>
          <t>Internal ML service</t>
        </is>
      </c>
      <c r="B44" s="5" t="inlineStr">
        <is>
          <t>Prediction endpoints</t>
        </is>
      </c>
      <c r="C44" s="5" t="inlineStr">
        <is>
          <t>ML_SERVICE_URL (ml-service/)</t>
        </is>
      </c>
      <c r="D44" s="5" t="inlineStr">
        <is>
          <t>Parking prediction and ML-backed analytics</t>
        </is>
      </c>
      <c r="E44" s="5" t="inlineStr">
        <is>
          <t>REST / JSON</t>
        </is>
      </c>
      <c r="F44" s="5" t="inlineStr">
        <is>
          <t>Internal</t>
        </is>
      </c>
      <c r="G44" s="5" t="inlineStr">
        <is>
          <t>ml-integrations.js</t>
        </is>
      </c>
    </row>
    <row r="45">
      <c r="A45" s="8" t="inlineStr">
        <is>
          <t>PurposeBuilt</t>
        </is>
      </c>
      <c r="B45" s="8" t="inlineStr">
        <is>
          <t>Mobile feed (GitHub Pages)</t>
        </is>
      </c>
      <c r="C45" s="8" t="inlineStr">
        <is>
          <t>https://purposebuiltsystems.github.io/...</t>
        </is>
      </c>
      <c r="D45" s="8" t="inlineStr">
        <is>
          <t>Mobile-sourced work-zone feed ingest</t>
        </is>
      </c>
      <c r="E45" s="8" t="inlineStr">
        <is>
          <t>HTTPS static JSON</t>
        </is>
      </c>
      <c r="F45" s="8" t="inlineStr">
        <is>
          <t>None</t>
        </is>
      </c>
      <c r="G45" s="8" t="inlineStr">
        <is>
          <t>services/mobile-feed-ingest.js</t>
        </is>
      </c>
    </row>
    <row r="46">
      <c r="A46" s="5" t="inlineStr">
        <is>
          <t>TETC</t>
        </is>
      </c>
      <c r="B46" s="5" t="inlineStr">
        <is>
          <t>Truck-parking / TDM reference</t>
        </is>
      </c>
      <c r="C46" s="5" t="inlineStr">
        <is>
          <t>https://tetcoalition.org/tdm/</t>
        </is>
      </c>
      <c r="D46" s="5" t="inlineStr">
        <is>
          <t>Reference documentation and coalition data links</t>
        </is>
      </c>
      <c r="E46" s="5" t="inlineStr">
        <is>
          <t>Web / docs</t>
        </is>
      </c>
      <c r="F46" s="5" t="inlineStr">
        <is>
          <t>None</t>
        </is>
      </c>
      <c r="G46" s="5" t="inlineStr">
        <is>
          <t>backend_proxy_server.js</t>
        </is>
      </c>
    </row>
  </sheetData>
  <autoFilter ref="A1:G4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60" customWidth="1" min="3" max="3"/>
    <col width="24" customWidth="1" min="4" max="4"/>
    <col width="14" customWidth="1" min="5" max="5"/>
    <col width="36" customWidth="1" min="6" max="6"/>
  </cols>
  <sheetData>
    <row r="1" ht="28" customHeight="1">
      <c r="A1" s="4" t="inlineStr">
        <is>
          <t>Feed</t>
        </is>
      </c>
      <c r="B1" s="4" t="inlineStr">
        <is>
          <t>Endpoint</t>
        </is>
      </c>
      <c r="C1" s="4" t="inlineStr">
        <is>
          <t>What it contains</t>
        </is>
      </c>
      <c r="D1" s="4" t="inlineStr">
        <is>
          <t>Format</t>
        </is>
      </c>
      <c r="E1" s="4" t="inlineStr">
        <is>
          <t>Access</t>
        </is>
      </c>
      <c r="F1" s="4" t="inlineStr">
        <is>
          <t>Implemented in</t>
        </is>
      </c>
    </row>
    <row r="2">
      <c r="A2" s="5" t="inlineStr">
        <is>
          <t>WZDx RoadEvent feed (v4.2)</t>
        </is>
      </c>
      <c r="B2" s="5" t="inlineStr">
        <is>
          <t>GET /api/wzdx</t>
        </is>
      </c>
      <c r="C2" s="5" t="inlineStr">
        <is>
          <t>Normalized multi-state work-zone events in WZDx v4.2</t>
        </is>
      </c>
      <c r="D2" s="5" t="inlineStr">
        <is>
          <t>GeoJSON</t>
        </is>
      </c>
      <c r="E2" s="5" t="inlineStr">
        <is>
          <t>Public</t>
        </is>
      </c>
      <c r="F2" s="5" t="inlineStr">
        <is>
          <t>services/wzdx-feed-generator.js</t>
        </is>
      </c>
    </row>
    <row r="3">
      <c r="A3" s="8" t="inlineStr">
        <is>
          <t>CWZ 1.0 RoadEvent feed</t>
        </is>
      </c>
      <c r="B3" s="8" t="inlineStr">
        <is>
          <t>GET /api/cwz/roadevents</t>
        </is>
      </c>
      <c r="C3" s="8" t="inlineStr">
        <is>
          <t>Validated work zones with multi-source verification evidence (x_cwz_*, x_camera_*, x_dms_*, x_tomtom_*)</t>
        </is>
      </c>
      <c r="D3" s="8" t="inlineStr">
        <is>
          <t>GeoJSON (CWZ 1.0)</t>
        </is>
      </c>
      <c r="E3" s="8" t="inlineStr">
        <is>
          <t>Public</t>
        </is>
      </c>
      <c r="F3" s="8" t="inlineStr">
        <is>
          <t>services/cwz-roadevent-feed.js</t>
        </is>
      </c>
    </row>
    <row r="4">
      <c r="A4" s="5" t="inlineStr">
        <is>
          <t>CWZ 1.0 Device feed</t>
        </is>
      </c>
      <c r="B4" s="5" t="inlineStr">
        <is>
          <t>GET /api/cwz/devices</t>
        </is>
      </c>
      <c r="C4" s="5" t="inlineStr">
        <is>
          <t>Connected field devices (arrow boards, portable DMS) associated to work zones</t>
        </is>
      </c>
      <c r="D4" s="5" t="inlineStr">
        <is>
          <t>GeoJSON (CWZ 1.0)</t>
        </is>
      </c>
      <c r="E4" s="5" t="inlineStr">
        <is>
          <t>Public</t>
        </is>
      </c>
      <c r="F4" s="5" t="inlineStr">
        <is>
          <t>services/cwz-device-feed.js</t>
        </is>
      </c>
    </row>
    <row r="5">
      <c r="A5" s="8" t="inlineStr">
        <is>
          <t>CIFS feed</t>
        </is>
      </c>
      <c r="B5" s="8" t="inlineStr">
        <is>
          <t>GET /api/cifs</t>
        </is>
      </c>
      <c r="C5" s="8" t="inlineStr">
        <is>
          <t>Closure Information Feed Spec output for Google/Waze consumption</t>
        </is>
      </c>
      <c r="D5" s="8" t="inlineStr">
        <is>
          <t>XML</t>
        </is>
      </c>
      <c r="E5" s="8" t="inlineStr">
        <is>
          <t>Public</t>
        </is>
      </c>
      <c r="F5" s="8" t="inlineStr">
        <is>
          <t>cifs-service.js</t>
        </is>
      </c>
    </row>
    <row r="6">
      <c r="A6" s="5" t="inlineStr">
        <is>
          <t>TIM / CV messages</t>
        </is>
      </c>
      <c r="B6" s="5" t="inlineStr">
        <is>
          <t>GET /api/cv/*, /api/convert/*</t>
        </is>
      </c>
      <c r="C6" s="5" t="inlineStr">
        <is>
          <t>Traveler Information Messages for connected-vehicle broadcast</t>
        </is>
      </c>
      <c r="D6" s="5" t="inlineStr">
        <is>
          <t>J2735-oriented JSON</t>
        </is>
      </c>
      <c r="E6" s="5" t="inlineStr">
        <is>
          <t>Public</t>
        </is>
      </c>
      <c r="F6" s="5" t="inlineStr">
        <is>
          <t>backend_proxy_server.js</t>
        </is>
      </c>
    </row>
    <row r="7">
      <c r="A7" s="8" t="inlineStr">
        <is>
          <t>State report cards</t>
        </is>
      </c>
      <c r="B7" s="8" t="inlineStr">
        <is>
          <t>GET /api/reports/*</t>
        </is>
      </c>
      <c r="C7" s="8" t="inlineStr">
        <is>
          <t>Per-state data-quality scorecards</t>
        </is>
      </c>
      <c r="D7" s="8" t="inlineStr">
        <is>
          <t>JSON / PDF</t>
        </is>
      </c>
      <c r="E7" s="8" t="inlineStr">
        <is>
          <t>Public</t>
        </is>
      </c>
      <c r="F7" s="8" t="inlineStr">
        <is>
          <t>report-card-service.js</t>
        </is>
      </c>
    </row>
    <row r="8">
      <c r="A8" s="5" t="inlineStr">
        <is>
          <t>ChatGPT / GPT actions</t>
        </is>
      </c>
      <c r="B8" s="5" t="inlineStr">
        <is>
          <t>GET|POST /api/chatgpt/*</t>
        </is>
      </c>
      <c r="C8" s="5" t="inlineStr">
        <is>
          <t>Custom-GPT action surface over corridor data</t>
        </is>
      </c>
      <c r="D8" s="5" t="inlineStr">
        <is>
          <t>REST / JSON</t>
        </is>
      </c>
      <c r="E8" s="5" t="inlineStr">
        <is>
          <t>API key</t>
        </is>
      </c>
      <c r="F8" s="5" t="inlineStr">
        <is>
          <t>backend_proxy_server.js, chatgpt_config.json</t>
        </is>
      </c>
    </row>
    <row r="9">
      <c r="A9" s="8" t="inlineStr">
        <is>
          <t>WFS / OGC services</t>
        </is>
      </c>
      <c r="B9" s="8" t="inlineStr">
        <is>
          <t>GET /api/wfs/*</t>
        </is>
      </c>
      <c r="C9" s="8" t="inlineStr">
        <is>
          <t>OGC-style feature access for GIS clients</t>
        </is>
      </c>
      <c r="D9" s="8" t="inlineStr">
        <is>
          <t>GML / GeoJSON</t>
        </is>
      </c>
      <c r="E9" s="8" t="inlineStr">
        <is>
          <t>Public</t>
        </is>
      </c>
      <c r="F9" s="8" t="inlineStr">
        <is>
          <t>backend_proxy_server.js</t>
        </is>
      </c>
    </row>
  </sheetData>
  <autoFilter ref="A1:F9"/>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8" defaultRowHeight="15"/>
  <cols>
    <col width="8" customWidth="1" min="1" max="1"/>
    <col width="24" customWidth="1" min="2" max="2"/>
    <col width="26" customWidth="1" min="3" max="3"/>
    <col width="62" customWidth="1" min="4" max="4"/>
    <col width="14" customWidth="1" min="5" max="5"/>
    <col width="16" customWidth="1" min="6" max="6"/>
    <col width="16" customWidth="1" min="7" max="7"/>
    <col width="22" customWidth="1" min="8" max="8"/>
  </cols>
  <sheetData>
    <row r="1" ht="30" customHeight="1">
      <c r="A1" s="4" t="inlineStr">
        <is>
          <t>State</t>
        </is>
      </c>
      <c r="B1" s="4" t="inlineStr">
        <is>
          <t>Agency / network</t>
        </is>
      </c>
      <c r="C1" s="4" t="inlineStr">
        <is>
          <t>Adapter family</t>
        </is>
      </c>
      <c r="D1" s="4" t="inlineStr">
        <is>
          <t>Endpoint</t>
        </is>
      </c>
      <c r="E1" s="4" t="inlineStr">
        <is>
          <t>Live pull 2026-09-03</t>
        </is>
      </c>
      <c r="F1" s="4" t="inlineStr">
        <is>
          <t>Cameras returned</t>
        </is>
      </c>
      <c r="G1" s="4" t="inlineStr">
        <is>
          <t>With still image</t>
        </is>
      </c>
      <c r="H1" s="4" t="inlineStr">
        <is>
          <t>Adapter</t>
        </is>
      </c>
    </row>
    <row r="2">
      <c r="A2" s="5" t="inlineStr">
        <is>
          <t>AZ</t>
        </is>
      </c>
      <c r="B2" s="5" t="inlineStr">
        <is>
          <t>Arizona</t>
        </is>
      </c>
      <c r="C2" s="5" t="inlineStr">
        <is>
          <t>IBI/511 cameras (POST)</t>
        </is>
      </c>
      <c r="D2" s="5" t="inlineStr">
        <is>
          <t>https://az511.com/ (List/GetData cameras)</t>
        </is>
      </c>
      <c r="E2" s="6" t="inlineStr">
        <is>
          <t>OK</t>
        </is>
      </c>
      <c r="F2" s="5" t="n">
        <v>644</v>
      </c>
      <c r="G2" s="5" t="n">
        <v>644</v>
      </c>
      <c r="H2" s="5" t="inlineStr">
        <is>
          <t>camera-adapters.js</t>
        </is>
      </c>
    </row>
    <row r="3">
      <c r="A3" s="8" t="inlineStr">
        <is>
          <t>CA</t>
        </is>
      </c>
      <c r="B3" s="8" t="inlineStr">
        <is>
          <t>California</t>
        </is>
      </c>
      <c r="C3" s="8" t="inlineStr">
        <is>
          <t>Caltrans CWWP2 (12 districts)</t>
        </is>
      </c>
      <c r="D3" s="8" t="inlineStr">
        <is>
          <t>https://cwwp2.dot.ca.gov/data/d&lt;N&gt;/cctv/cctvStatusD&lt;NN&gt;.json</t>
        </is>
      </c>
      <c r="E3" s="12" t="inlineStr">
        <is>
          <t>OK</t>
        </is>
      </c>
      <c r="F3" s="8" t="n">
        <v>3340</v>
      </c>
      <c r="G3" s="8" t="n">
        <v>3340</v>
      </c>
      <c r="H3" s="8" t="inlineStr">
        <is>
          <t>camera-adapters.js</t>
        </is>
      </c>
    </row>
    <row r="4">
      <c r="A4" s="5" t="inlineStr">
        <is>
          <t>FL</t>
        </is>
      </c>
      <c r="B4" s="5" t="inlineStr">
        <is>
          <t>Florida</t>
        </is>
      </c>
      <c r="C4" s="5" t="inlineStr">
        <is>
          <t>ArcGIS FeatureServer</t>
        </is>
      </c>
      <c r="D4" s="5" t="inlineStr">
        <is>
          <t>https://gis.fdot.gov/arcgis/rest/services/DIVAS_Cameras/FeatureServer/0/query</t>
        </is>
      </c>
      <c r="E4" s="6" t="inlineStr">
        <is>
          <t>OK</t>
        </is>
      </c>
      <c r="F4" s="5" t="n">
        <v>1669</v>
      </c>
      <c r="G4" s="5" t="n">
        <v>1669</v>
      </c>
      <c r="H4" s="5" t="inlineStr">
        <is>
          <t>camera-adapters.js</t>
        </is>
      </c>
    </row>
    <row r="5">
      <c r="A5" s="8" t="inlineStr">
        <is>
          <t>GA</t>
        </is>
      </c>
      <c r="B5" s="8" t="inlineStr">
        <is>
          <t>Georgia</t>
        </is>
      </c>
      <c r="C5" s="8" t="inlineStr">
        <is>
          <t>IBI/511 cameras (POST)</t>
        </is>
      </c>
      <c r="D5" s="8" t="inlineStr">
        <is>
          <t>https://511ga.org/ (List/GetData cameras)</t>
        </is>
      </c>
      <c r="E5" s="12" t="inlineStr">
        <is>
          <t>OK</t>
        </is>
      </c>
      <c r="F5" s="8" t="n">
        <v>4043</v>
      </c>
      <c r="G5" s="8" t="n">
        <v>4043</v>
      </c>
      <c r="H5" s="8" t="inlineStr">
        <is>
          <t>camera-adapters.js</t>
        </is>
      </c>
    </row>
    <row r="6">
      <c r="A6" s="5" t="inlineStr">
        <is>
          <t>ID</t>
        </is>
      </c>
      <c r="B6" s="5" t="inlineStr">
        <is>
          <t>Idaho</t>
        </is>
      </c>
      <c r="C6" s="5" t="inlineStr">
        <is>
          <t>IBI/511 cameras (POST)</t>
        </is>
      </c>
      <c r="D6" s="5" t="inlineStr">
        <is>
          <t>https://511.idaho.gov/ (List/GetData cameras)</t>
        </is>
      </c>
      <c r="E6" s="6" t="inlineStr">
        <is>
          <t>OK</t>
        </is>
      </c>
      <c r="F6" s="5" t="n">
        <v>457</v>
      </c>
      <c r="G6" s="5" t="n">
        <v>457</v>
      </c>
      <c r="H6" s="5" t="inlineStr">
        <is>
          <t>camera-adapters.js</t>
        </is>
      </c>
    </row>
    <row r="7">
      <c r="A7" s="8" t="inlineStr">
        <is>
          <t>IA</t>
        </is>
      </c>
      <c r="B7" s="8" t="inlineStr">
        <is>
          <t>Iowa</t>
        </is>
      </c>
      <c r="C7" s="8" t="inlineStr">
        <is>
          <t>ArcGIS FeatureServer</t>
        </is>
      </c>
      <c r="D7" s="8" t="inlineStr">
        <is>
          <t>https://services.arcgis.com/8lRhdTsQyJpO52F1/.../Traffic_Cameras_View/FeatureServer/0/query</t>
        </is>
      </c>
      <c r="E7" s="12" t="inlineStr">
        <is>
          <t>OK</t>
        </is>
      </c>
      <c r="F7" s="8" t="n">
        <v>1252</v>
      </c>
      <c r="G7" s="8" t="n">
        <v>1252</v>
      </c>
      <c r="H7" s="8" t="inlineStr">
        <is>
          <t>camera-adapters.js</t>
        </is>
      </c>
    </row>
    <row r="8">
      <c r="A8" s="5" t="inlineStr">
        <is>
          <t>LA</t>
        </is>
      </c>
      <c r="B8" s="5" t="inlineStr">
        <is>
          <t>Louisiana</t>
        </is>
      </c>
      <c r="C8" s="5" t="inlineStr">
        <is>
          <t>IBI/511 cameras (POST)</t>
        </is>
      </c>
      <c r="D8" s="5" t="inlineStr">
        <is>
          <t>https://www.511la.org/ (List/GetData cameras)</t>
        </is>
      </c>
      <c r="E8" s="6" t="inlineStr">
        <is>
          <t>OK</t>
        </is>
      </c>
      <c r="F8" s="5" t="n">
        <v>336</v>
      </c>
      <c r="G8" s="5" t="n">
        <v>336</v>
      </c>
      <c r="H8" s="5" t="inlineStr">
        <is>
          <t>camera-adapters.js</t>
        </is>
      </c>
    </row>
    <row r="9">
      <c r="A9" s="8" t="inlineStr">
        <is>
          <t>ME</t>
        </is>
      </c>
      <c r="B9" s="8" t="inlineStr">
        <is>
          <t>Maine / New England</t>
        </is>
      </c>
      <c r="C9" s="8" t="inlineStr">
        <is>
          <t>IBI/511 cameras (POST)</t>
        </is>
      </c>
      <c r="D9" s="8" t="inlineStr">
        <is>
          <t>https://newengland511.org/ (List/GetData cameras)</t>
        </is>
      </c>
      <c r="E9" s="12" t="inlineStr">
        <is>
          <t>OK</t>
        </is>
      </c>
      <c r="F9" s="8" t="n">
        <v>405</v>
      </c>
      <c r="G9" s="8" t="n">
        <v>405</v>
      </c>
      <c r="H9" s="8" t="inlineStr">
        <is>
          <t>camera-adapters.js</t>
        </is>
      </c>
    </row>
    <row r="10">
      <c r="A10" s="5" t="inlineStr">
        <is>
          <t>MN</t>
        </is>
      </c>
      <c r="B10" s="5" t="inlineStr">
        <is>
          <t>Minnesota</t>
        </is>
      </c>
      <c r="C10" s="5" t="inlineStr">
        <is>
          <t>CARS cameras_v1</t>
        </is>
      </c>
      <c r="D10" s="5" t="inlineStr">
        <is>
          <t>https://mntg.carsprogram.org/cameras_v1/api/cameras</t>
        </is>
      </c>
      <c r="E10" s="6" t="inlineStr">
        <is>
          <t>OK</t>
        </is>
      </c>
      <c r="F10" s="5" t="n">
        <v>1528</v>
      </c>
      <c r="G10" s="5" t="n">
        <v>1528</v>
      </c>
      <c r="H10" s="5" t="inlineStr">
        <is>
          <t>camera-adapters.js</t>
        </is>
      </c>
    </row>
    <row r="11">
      <c r="A11" s="8" t="inlineStr">
        <is>
          <t>NV</t>
        </is>
      </c>
      <c r="B11" s="8" t="inlineStr">
        <is>
          <t>Nevada</t>
        </is>
      </c>
      <c r="C11" s="8" t="inlineStr">
        <is>
          <t>IBI/511 cameras (POST)</t>
        </is>
      </c>
      <c r="D11" s="8" t="inlineStr">
        <is>
          <t>https://www.nvroads.com/ (List/GetData cameras)</t>
        </is>
      </c>
      <c r="E11" s="12" t="inlineStr">
        <is>
          <t>OK</t>
        </is>
      </c>
      <c r="F11" s="8" t="n">
        <v>640</v>
      </c>
      <c r="G11" s="8" t="n">
        <v>640</v>
      </c>
      <c r="H11" s="8" t="inlineStr">
        <is>
          <t>camera-adapters.js</t>
        </is>
      </c>
    </row>
    <row r="12">
      <c r="A12" s="5" t="inlineStr">
        <is>
          <t>NY</t>
        </is>
      </c>
      <c r="B12" s="5" t="inlineStr">
        <is>
          <t>New York</t>
        </is>
      </c>
      <c r="C12" s="5" t="inlineStr">
        <is>
          <t>511NY getcameras</t>
        </is>
      </c>
      <c r="D12" s="5" t="inlineStr">
        <is>
          <t>https://511ny.org/api/getcameras?format=json</t>
        </is>
      </c>
      <c r="E12" s="6" t="inlineStr">
        <is>
          <t>OK</t>
        </is>
      </c>
      <c r="F12" s="5" t="n">
        <v>1871</v>
      </c>
      <c r="G12" s="5" t="n">
        <v>1871</v>
      </c>
      <c r="H12" s="5" t="inlineStr">
        <is>
          <t>camera-adapters.js</t>
        </is>
      </c>
    </row>
    <row r="13">
      <c r="A13" s="8" t="inlineStr">
        <is>
          <t>NC</t>
        </is>
      </c>
      <c r="B13" s="8" t="inlineStr">
        <is>
          <t>North Carolina</t>
        </is>
      </c>
      <c r="C13" s="8" t="inlineStr">
        <is>
          <t>IBI/511 cameras (POST)</t>
        </is>
      </c>
      <c r="D13" s="8" t="inlineStr">
        <is>
          <t>https://www.drivenc.gov/ (List/GetData cameras)</t>
        </is>
      </c>
      <c r="E13" s="12" t="inlineStr">
        <is>
          <t>OK</t>
        </is>
      </c>
      <c r="F13" s="8" t="n">
        <v>1140</v>
      </c>
      <c r="G13" s="8" t="n">
        <v>1140</v>
      </c>
      <c r="H13" s="8" t="inlineStr">
        <is>
          <t>camera-adapters.js</t>
        </is>
      </c>
    </row>
    <row r="14">
      <c r="A14" s="5" t="inlineStr">
        <is>
          <t>PA</t>
        </is>
      </c>
      <c r="B14" s="5" t="inlineStr">
        <is>
          <t>Pennsylvania</t>
        </is>
      </c>
      <c r="C14" s="5" t="inlineStr">
        <is>
          <t>IBI/511 cameras (POST)</t>
        </is>
      </c>
      <c r="D14" s="5" t="inlineStr">
        <is>
          <t>https://www.511pa.com/ (List/GetData cameras)</t>
        </is>
      </c>
      <c r="E14" s="6" t="inlineStr">
        <is>
          <t>OK</t>
        </is>
      </c>
      <c r="F14" s="5" t="n">
        <v>1536</v>
      </c>
      <c r="G14" s="5" t="n">
        <v>1536</v>
      </c>
      <c r="H14" s="5" t="inlineStr">
        <is>
          <t>camera-adapters.js</t>
        </is>
      </c>
    </row>
    <row r="15">
      <c r="A15" s="8" t="inlineStr">
        <is>
          <t>TX</t>
        </is>
      </c>
      <c r="B15" s="8" t="inlineStr">
        <is>
          <t>Texas (Austin)</t>
        </is>
      </c>
      <c r="C15" s="8" t="inlineStr">
        <is>
          <t>Socrata open data</t>
        </is>
      </c>
      <c r="D15" s="8" t="inlineStr">
        <is>
          <t>https://data.austintexas.gov/resource/b4k4-adkb.json (images: cctv.austinmobility.io)</t>
        </is>
      </c>
      <c r="E15" s="12" t="inlineStr">
        <is>
          <t>OK</t>
        </is>
      </c>
      <c r="F15" s="8" t="n">
        <v>1005</v>
      </c>
      <c r="G15" s="8" t="n">
        <v>1005</v>
      </c>
      <c r="H15" s="8" t="inlineStr">
        <is>
          <t>camera-adapters.js</t>
        </is>
      </c>
    </row>
    <row r="16">
      <c r="A16" s="5" t="inlineStr">
        <is>
          <t>UT</t>
        </is>
      </c>
      <c r="B16" s="5" t="inlineStr">
        <is>
          <t>Utah</t>
        </is>
      </c>
      <c r="C16" s="5" t="inlineStr">
        <is>
          <t>IBI/511 cameras (POST)</t>
        </is>
      </c>
      <c r="D16" s="5" t="inlineStr">
        <is>
          <t>https://www.udottraffic.utah.gov/ (List/GetData cameras)</t>
        </is>
      </c>
      <c r="E16" s="6" t="inlineStr">
        <is>
          <t>OK</t>
        </is>
      </c>
      <c r="F16" s="5" t="n">
        <v>2075</v>
      </c>
      <c r="G16" s="5" t="n">
        <v>2075</v>
      </c>
      <c r="H16" s="5" t="inlineStr">
        <is>
          <t>camera-adapters.js</t>
        </is>
      </c>
    </row>
    <row r="17">
      <c r="A17" s="17" t="inlineStr"/>
      <c r="B17" s="17" t="inlineStr">
        <is>
          <t>TOTAL</t>
        </is>
      </c>
      <c r="C17" s="17" t="inlineStr"/>
      <c r="D17" s="17" t="inlineStr"/>
      <c r="E17" s="17" t="inlineStr"/>
      <c r="F17" s="17" t="n">
        <v>21941</v>
      </c>
      <c r="G17" s="17" t="n">
        <v>21941</v>
      </c>
      <c r="H17" s="17" t="inlineStr"/>
    </row>
  </sheetData>
  <autoFilter ref="A1:H17"/>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21"/>
  <sheetViews>
    <sheetView workbookViewId="0">
      <pane ySplit="1" topLeftCell="A2" activePane="bottomLeft" state="frozen"/>
      <selection pane="bottomLeft" activeCell="A1" sqref="A1"/>
    </sheetView>
  </sheetViews>
  <sheetFormatPr baseColWidth="8" defaultRowHeight="15"/>
  <cols>
    <col width="8" customWidth="1" min="1" max="1"/>
    <col width="26" customWidth="1" min="2" max="2"/>
    <col width="26" customWidth="1" min="3" max="3"/>
    <col width="58" customWidth="1" min="4" max="4"/>
    <col width="20" customWidth="1" min="5" max="5"/>
    <col width="14" customWidth="1" min="6" max="6"/>
    <col width="14" customWidth="1" min="7" max="7"/>
    <col width="14" customWidth="1" min="8" max="8"/>
    <col width="16" customWidth="1" min="9" max="9"/>
    <col width="12" customWidth="1" min="10" max="10"/>
    <col width="60" customWidth="1" min="11" max="11"/>
  </cols>
  <sheetData>
    <row r="1" ht="32" customHeight="1">
      <c r="A1" s="4" t="inlineStr">
        <is>
          <t>State</t>
        </is>
      </c>
      <c r="B1" s="4" t="inlineStr">
        <is>
          <t>Agency</t>
        </is>
      </c>
      <c r="C1" s="4" t="inlineStr">
        <is>
          <t>Adapter family</t>
        </is>
      </c>
      <c r="D1" s="4" t="inlineStr">
        <is>
          <t>Endpoint</t>
        </is>
      </c>
      <c r="E1" s="4" t="inlineStr">
        <is>
          <t>Live pull 2026-09-03</t>
        </is>
      </c>
      <c r="F1" s="4" t="inlineStr">
        <is>
          <t>Signs / devices</t>
        </is>
      </c>
      <c r="G1" s="4" t="inlineStr">
        <is>
          <t>ARROW BOARDS</t>
        </is>
      </c>
      <c r="H1" s="4" t="inlineStr">
        <is>
          <t>Portable DMS</t>
        </is>
      </c>
      <c r="I1" s="4" t="inlineStr">
        <is>
          <t>Actively displaying</t>
        </is>
      </c>
      <c r="J1" s="4" t="inlineStr">
        <is>
          <t>Key required</t>
        </is>
      </c>
      <c r="K1" s="4" t="inlineStr">
        <is>
          <t>Notes</t>
        </is>
      </c>
    </row>
    <row r="2">
      <c r="A2" s="5" t="inlineStr">
        <is>
          <t>IA</t>
        </is>
      </c>
      <c r="B2" s="5" t="inlineStr">
        <is>
          <t>Iowa DOT (DMS_View)</t>
        </is>
      </c>
      <c r="C2" s="5" t="inlineStr">
        <is>
          <t>ArcGIS FeatureServer</t>
        </is>
      </c>
      <c r="D2" s="5" t="inlineStr">
        <is>
          <t>https://services.arcgis.com/8lRhdTsQyJpO52F1/ArcGIS/rest/services/DMS_View/FeatureServer/0/query</t>
        </is>
      </c>
      <c r="E2" s="6" t="inlineStr">
        <is>
          <t>OK</t>
        </is>
      </c>
      <c r="F2" s="5" t="n">
        <v>119</v>
      </c>
      <c r="G2" s="35" t="n">
        <v>62</v>
      </c>
      <c r="H2" s="5" t="n">
        <v>57</v>
      </c>
      <c r="I2" s="5" t="inlineStr">
        <is>
          <t>-</t>
        </is>
      </c>
      <c r="J2" s="5" t="inlineStr">
        <is>
          <t>No</t>
        </is>
      </c>
      <c r="K2" s="5" t="inlineStr">
        <is>
          <t>The primary connected-device source. Arrow boards are Solar Tech - AB and iCone - AB units reporting real patterns (Right/Left Chevron sequential, Caution Four Corner flashing). NOTE: type is inferred from a NAME regex (/-\s*AB\b|arrow/i), not a typed field - a vendor naming a board differently is silently classed as DMS. Ingested via dms-corroboration.js / device-ingest.js, not device-adapters.js</t>
        </is>
      </c>
    </row>
    <row r="3">
      <c r="A3" s="8" t="inlineStr">
        <is>
          <t>AZ</t>
        </is>
      </c>
      <c r="B3" s="8" t="inlineStr">
        <is>
          <t>Arizona</t>
        </is>
      </c>
      <c r="C3" s="8" t="inlineStr">
        <is>
          <t>CARS/OneStop 511</t>
        </is>
      </c>
      <c r="D3" s="8" t="inlineStr">
        <is>
          <t>https://az511.com/api/v2/get/messagesigns</t>
        </is>
      </c>
      <c r="E3" s="14" t="inlineStr">
        <is>
          <t>SKIPPED - no key</t>
        </is>
      </c>
      <c r="F3" s="8" t="inlineStr"/>
      <c r="G3" s="8" t="inlineStr"/>
      <c r="H3" s="8" t="inlineStr"/>
      <c r="I3" s="8" t="inlineStr"/>
      <c r="J3" s="8" t="inlineStr">
        <is>
          <t>Yes</t>
        </is>
      </c>
      <c r="K3" s="8" t="inlineStr">
        <is>
          <t>Free key required</t>
        </is>
      </c>
    </row>
    <row r="4">
      <c r="A4" s="5" t="inlineStr">
        <is>
          <t>CA</t>
        </is>
      </c>
      <c r="B4" s="5" t="inlineStr">
        <is>
          <t>California</t>
        </is>
      </c>
      <c r="C4" s="5" t="inlineStr">
        <is>
          <t>Caltrans CWWP2 CMS (12 districts)</t>
        </is>
      </c>
      <c r="D4" s="5" t="inlineStr">
        <is>
          <t>https://cwwp2.dot.ca.gov/data/d&lt;N&gt;/cms/cmsStatusD&lt;NN&gt;.json</t>
        </is>
      </c>
      <c r="E4" s="6" t="inlineStr">
        <is>
          <t>OK</t>
        </is>
      </c>
      <c r="F4" s="5" t="n">
        <v>1016</v>
      </c>
      <c r="G4" s="5" t="n">
        <v>0</v>
      </c>
      <c r="H4" s="5" t="n">
        <v>0</v>
      </c>
      <c r="I4" s="5" t="n">
        <v>0</v>
      </c>
      <c r="J4" s="5" t="inlineStr">
        <is>
          <t>No</t>
        </is>
      </c>
      <c r="K4" s="5" t="inlineStr">
        <is>
          <t>Some districts intermittently 500 and are skipped</t>
        </is>
      </c>
    </row>
    <row r="5">
      <c r="A5" s="8" t="inlineStr">
        <is>
          <t>FL</t>
        </is>
      </c>
      <c r="B5" s="8" t="inlineStr">
        <is>
          <t>Florida</t>
        </is>
      </c>
      <c r="C5" s="8" t="inlineStr">
        <is>
          <t>ArcGIS FeatureServer</t>
        </is>
      </c>
      <c r="D5" s="8" t="inlineStr">
        <is>
          <t>https://gis.fdot.gov/arcgis/rest/services/DIVAS_MessageBoard/FeatureServer/0/query</t>
        </is>
      </c>
      <c r="E5" s="12" t="inlineStr">
        <is>
          <t>OK</t>
        </is>
      </c>
      <c r="F5" s="8" t="n">
        <v>1047</v>
      </c>
      <c r="G5" s="8" t="n">
        <v>0</v>
      </c>
      <c r="H5" s="8" t="n">
        <v>0</v>
      </c>
      <c r="I5" s="8" t="n">
        <v>520</v>
      </c>
      <c r="J5" s="8" t="inlineStr">
        <is>
          <t>No</t>
        </is>
      </c>
      <c r="K5" s="8" t="inlineStr">
        <is>
          <t>Fixed DMS with live message text</t>
        </is>
      </c>
    </row>
    <row r="6">
      <c r="A6" s="5" t="inlineStr">
        <is>
          <t>ID</t>
        </is>
      </c>
      <c r="B6" s="5" t="inlineStr">
        <is>
          <t>Idaho</t>
        </is>
      </c>
      <c r="C6" s="5" t="inlineStr">
        <is>
          <t>CARS/OneStop 511</t>
        </is>
      </c>
      <c r="D6" s="5" t="inlineStr">
        <is>
          <t>https://511.idaho.gov/api/v2/get/messagesigns</t>
        </is>
      </c>
      <c r="E6" s="16" t="inlineStr">
        <is>
          <t>SKIPPED - no key</t>
        </is>
      </c>
      <c r="F6" s="5" t="inlineStr"/>
      <c r="G6" s="5" t="inlineStr"/>
      <c r="H6" s="5" t="inlineStr"/>
      <c r="I6" s="5" t="inlineStr"/>
      <c r="J6" s="5" t="inlineStr">
        <is>
          <t>Yes</t>
        </is>
      </c>
      <c r="K6" s="5" t="inlineStr">
        <is>
          <t>Free key required</t>
        </is>
      </c>
    </row>
    <row r="7">
      <c r="A7" s="8" t="inlineStr">
        <is>
          <t>KY</t>
        </is>
      </c>
      <c r="B7" s="8" t="inlineStr">
        <is>
          <t>Kentucky</t>
        </is>
      </c>
      <c r="C7" s="8" t="inlineStr">
        <is>
          <t>ArcGIS FeatureServer</t>
        </is>
      </c>
      <c r="D7" s="8" t="inlineStr">
        <is>
          <t>https://services2.arcgis.com/CcI36Pduqd0OR4W9/.../dmsSigns_2020/FeatureServer/0/query</t>
        </is>
      </c>
      <c r="E7" s="12" t="inlineStr">
        <is>
          <t>OK</t>
        </is>
      </c>
      <c r="F7" s="8" t="n">
        <v>90</v>
      </c>
      <c r="G7" s="8" t="n">
        <v>0</v>
      </c>
      <c r="H7" s="8" t="n">
        <v>0</v>
      </c>
      <c r="I7" s="8" t="n">
        <v>83</v>
      </c>
      <c r="J7" s="8" t="inlineStr">
        <is>
          <t>No</t>
        </is>
      </c>
      <c r="K7" s="8" t="inlineStr">
        <is>
          <t>Fixed DMS with live message text</t>
        </is>
      </c>
    </row>
    <row r="8">
      <c r="A8" s="5" t="inlineStr">
        <is>
          <t>LA</t>
        </is>
      </c>
      <c r="B8" s="5" t="inlineStr">
        <is>
          <t>Louisiana</t>
        </is>
      </c>
      <c r="C8" s="5" t="inlineStr">
        <is>
          <t>CARS/OneStop 511</t>
        </is>
      </c>
      <c r="D8" s="5" t="inlineStr">
        <is>
          <t>https://511la.org/api/v2/get/messagesigns</t>
        </is>
      </c>
      <c r="E8" s="16" t="inlineStr">
        <is>
          <t>SKIPPED - no key</t>
        </is>
      </c>
      <c r="F8" s="5" t="inlineStr"/>
      <c r="G8" s="5" t="inlineStr"/>
      <c r="H8" s="5" t="inlineStr"/>
      <c r="I8" s="5" t="inlineStr"/>
      <c r="J8" s="5" t="inlineStr">
        <is>
          <t>Yes</t>
        </is>
      </c>
      <c r="K8" s="5" t="inlineStr">
        <is>
          <t>Free key required</t>
        </is>
      </c>
    </row>
    <row r="9">
      <c r="A9" s="8" t="inlineStr">
        <is>
          <t>ME</t>
        </is>
      </c>
      <c r="B9" s="8" t="inlineStr">
        <is>
          <t>Maine</t>
        </is>
      </c>
      <c r="C9" s="8" t="inlineStr">
        <is>
          <t>ArcGIS MapServer</t>
        </is>
      </c>
      <c r="D9" s="8" t="inlineStr">
        <is>
          <t>https://arcgisserver.maine.gov/arcgis/rest/services/mdot/MaineDOT_Dynamic/MapServer/111/query</t>
        </is>
      </c>
      <c r="E9" s="12" t="inlineStr">
        <is>
          <t>OK</t>
        </is>
      </c>
      <c r="F9" s="8" t="n">
        <v>101</v>
      </c>
      <c r="G9" s="8" t="n">
        <v>0</v>
      </c>
      <c r="H9" s="8" t="n">
        <v>101</v>
      </c>
      <c r="I9" s="8" t="n">
        <v>0</v>
      </c>
      <c r="J9" s="8" t="inlineStr">
        <is>
          <t>No</t>
        </is>
      </c>
      <c r="K9" s="8" t="inlineStr">
        <is>
          <t>Portable = trailer installation type</t>
        </is>
      </c>
    </row>
    <row r="10">
      <c r="A10" s="5" t="inlineStr">
        <is>
          <t>MD</t>
        </is>
      </c>
      <c r="B10" s="5" t="inlineStr">
        <is>
          <t>Maryland</t>
        </is>
      </c>
      <c r="C10" s="5" t="inlineStr">
        <is>
          <t>ArcGIS MapServer (CHART)</t>
        </is>
      </c>
      <c r="D10" s="5" t="inlineStr">
        <is>
          <t>https://chartimap1.sha.maryland.gov/arcgis/rest/services/CHART/DMS/MapServer/0/query</t>
        </is>
      </c>
      <c r="E10" s="6" t="inlineStr">
        <is>
          <t>OK</t>
        </is>
      </c>
      <c r="F10" s="5" t="n">
        <v>295</v>
      </c>
      <c r="G10" s="5" t="n">
        <v>0</v>
      </c>
      <c r="H10" s="5" t="n">
        <v>0</v>
      </c>
      <c r="I10" s="5" t="n">
        <v>212</v>
      </c>
      <c r="J10" s="5" t="inlineStr">
        <is>
          <t>No</t>
        </is>
      </c>
      <c r="K10" s="5" t="inlineStr">
        <is>
          <t>Route/direction parsed from location string</t>
        </is>
      </c>
    </row>
    <row r="11">
      <c r="A11" s="8" t="inlineStr">
        <is>
          <t>NV</t>
        </is>
      </c>
      <c r="B11" s="8" t="inlineStr">
        <is>
          <t>Nevada</t>
        </is>
      </c>
      <c r="C11" s="8" t="inlineStr">
        <is>
          <t>CARS/OneStop 511</t>
        </is>
      </c>
      <c r="D11" s="8" t="inlineStr">
        <is>
          <t>https://www.nvroads.com/api/v2/get/messagesigns</t>
        </is>
      </c>
      <c r="E11" s="14" t="inlineStr">
        <is>
          <t>SKIPPED - no key</t>
        </is>
      </c>
      <c r="F11" s="8" t="inlineStr"/>
      <c r="G11" s="8" t="inlineStr"/>
      <c r="H11" s="8" t="inlineStr"/>
      <c r="I11" s="8" t="inlineStr"/>
      <c r="J11" s="8" t="inlineStr">
        <is>
          <t>Yes</t>
        </is>
      </c>
      <c r="K11" s="8" t="inlineStr">
        <is>
          <t>Free key required</t>
        </is>
      </c>
    </row>
    <row r="12">
      <c r="A12" s="5" t="inlineStr">
        <is>
          <t>NJ</t>
        </is>
      </c>
      <c r="B12" s="5" t="inlineStr">
        <is>
          <t>New Jersey</t>
        </is>
      </c>
      <c r="C12" s="5" t="inlineStr">
        <is>
          <t>CARS/OneStop 511</t>
        </is>
      </c>
      <c r="D12" s="5" t="inlineStr">
        <is>
          <t>https://511nj.org/api/getmessagesigns</t>
        </is>
      </c>
      <c r="E12" s="16" t="inlineStr">
        <is>
          <t>SKIPPED - no key</t>
        </is>
      </c>
      <c r="F12" s="5" t="inlineStr"/>
      <c r="G12" s="5" t="inlineStr"/>
      <c r="H12" s="5" t="inlineStr"/>
      <c r="I12" s="5" t="inlineStr"/>
      <c r="J12" s="5" t="inlineStr">
        <is>
          <t>Yes</t>
        </is>
      </c>
      <c r="K12" s="5" t="inlineStr">
        <is>
          <t>Free key required</t>
        </is>
      </c>
    </row>
    <row r="13">
      <c r="A13" s="8" t="inlineStr">
        <is>
          <t>NM</t>
        </is>
      </c>
      <c r="B13" s="8" t="inlineStr">
        <is>
          <t>New Mexico</t>
        </is>
      </c>
      <c r="C13" s="8" t="inlineStr">
        <is>
          <t>Custom REST (NMRoads)</t>
        </is>
      </c>
      <c r="D13" s="8" t="inlineStr">
        <is>
          <t>https://servicev4.nmroads.com/RealMapWAR/GetMessageSigns</t>
        </is>
      </c>
      <c r="E13" s="15" t="inlineStr">
        <is>
          <t>ERROR: certificate has expired</t>
        </is>
      </c>
      <c r="F13" s="8" t="inlineStr"/>
      <c r="G13" s="8" t="inlineStr"/>
      <c r="H13" s="8" t="inlineStr"/>
      <c r="I13" s="8" t="inlineStr"/>
      <c r="J13" s="8" t="inlineStr">
        <is>
          <t>No</t>
        </is>
      </c>
      <c r="K13" s="8" t="inlineStr">
        <is>
          <t>TLS certificate expired as of the pull</t>
        </is>
      </c>
    </row>
    <row r="14">
      <c r="A14" s="5" t="inlineStr">
        <is>
          <t>NY</t>
        </is>
      </c>
      <c r="B14" s="5" t="inlineStr">
        <is>
          <t>New York</t>
        </is>
      </c>
      <c r="C14" s="5" t="inlineStr">
        <is>
          <t>CARS/OneStop 511 (keyless path)</t>
        </is>
      </c>
      <c r="D14" s="5" t="inlineStr">
        <is>
          <t>https://511ny.org/api/getmessagesigns?format=json</t>
        </is>
      </c>
      <c r="E14" s="6" t="inlineStr">
        <is>
          <t>OK</t>
        </is>
      </c>
      <c r="F14" s="5" t="n">
        <v>919</v>
      </c>
      <c r="G14" s="5" t="n">
        <v>0</v>
      </c>
      <c r="H14" s="5" t="n">
        <v>175</v>
      </c>
      <c r="I14" s="5" t="n">
        <v>919</v>
      </c>
      <c r="J14" s="5" t="inlineStr">
        <is>
          <t>No</t>
        </is>
      </c>
      <c r="K14" s="5" t="inlineStr">
        <is>
          <t>Keyless; 175 portable units detected</t>
        </is>
      </c>
    </row>
    <row r="15">
      <c r="A15" s="8" t="inlineStr">
        <is>
          <t>NC</t>
        </is>
      </c>
      <c r="B15" s="8" t="inlineStr">
        <is>
          <t>North Carolina</t>
        </is>
      </c>
      <c r="C15" s="8" t="inlineStr">
        <is>
          <t>CARS/OneStop 511</t>
        </is>
      </c>
      <c r="D15" s="8" t="inlineStr">
        <is>
          <t>https://www.drivenc.gov/api/v2/get/messagesigns</t>
        </is>
      </c>
      <c r="E15" s="14" t="inlineStr">
        <is>
          <t>SKIPPED - no key</t>
        </is>
      </c>
      <c r="F15" s="8" t="inlineStr"/>
      <c r="G15" s="8" t="inlineStr"/>
      <c r="H15" s="8" t="inlineStr"/>
      <c r="I15" s="8" t="inlineStr"/>
      <c r="J15" s="8" t="inlineStr">
        <is>
          <t>Yes</t>
        </is>
      </c>
      <c r="K15" s="8" t="inlineStr">
        <is>
          <t>Free key required</t>
        </is>
      </c>
    </row>
    <row r="16">
      <c r="A16" s="5" t="inlineStr">
        <is>
          <t>OK</t>
        </is>
      </c>
      <c r="B16" s="5" t="inlineStr">
        <is>
          <t>Oklahoma</t>
        </is>
      </c>
      <c r="C16" s="5" t="inlineStr">
        <is>
          <t>Custom REST (oktraffic.org)</t>
        </is>
      </c>
      <c r="D16" s="5" t="inlineStr">
        <is>
          <t>https://oktraffic.org/api/Devices + /api/DmsStatuses</t>
        </is>
      </c>
      <c r="E16" s="6" t="inlineStr">
        <is>
          <t>OK</t>
        </is>
      </c>
      <c r="F16" s="5" t="n">
        <v>167</v>
      </c>
      <c r="G16" s="5" t="n">
        <v>0</v>
      </c>
      <c r="H16" s="5" t="n">
        <v>40</v>
      </c>
      <c r="I16" s="5" t="n">
        <v>51</v>
      </c>
      <c r="J16" s="5" t="inlineStr">
        <is>
          <t>No</t>
        </is>
      </c>
      <c r="K16" s="5" t="inlineStr">
        <is>
          <t>NTCIP MULTI tags stripped from message text</t>
        </is>
      </c>
    </row>
    <row r="17">
      <c r="A17" s="8" t="inlineStr">
        <is>
          <t>PA</t>
        </is>
      </c>
      <c r="B17" s="8" t="inlineStr">
        <is>
          <t>Pennsylvania</t>
        </is>
      </c>
      <c r="C17" s="8" t="inlineStr">
        <is>
          <t>ArcGIS MapServer</t>
        </is>
      </c>
      <c r="D17" s="8" t="inlineStr">
        <is>
          <t>https://gis.penndot.gov/arcgis/rest/services/tsams/tsams/MapServer/17/query</t>
        </is>
      </c>
      <c r="E17" s="12" t="inlineStr">
        <is>
          <t>OK</t>
        </is>
      </c>
      <c r="F17" s="8" t="n">
        <v>962</v>
      </c>
      <c r="G17" s="8" t="n">
        <v>0</v>
      </c>
      <c r="H17" s="8" t="n">
        <v>109</v>
      </c>
      <c r="I17" s="8" t="n">
        <v>0</v>
      </c>
      <c r="J17" s="8" t="inlineStr">
        <is>
          <t>No</t>
        </is>
      </c>
      <c r="K17" s="8" t="inlineStr">
        <is>
          <t>Portable = trailer / Type A-B structure</t>
        </is>
      </c>
    </row>
    <row r="18">
      <c r="A18" s="5" t="inlineStr">
        <is>
          <t>UT</t>
        </is>
      </c>
      <c r="B18" s="5" t="inlineStr">
        <is>
          <t>Utah</t>
        </is>
      </c>
      <c r="C18" s="5" t="inlineStr">
        <is>
          <t>CARS/OneStop 511</t>
        </is>
      </c>
      <c r="D18" s="5" t="inlineStr">
        <is>
          <t>https://www.udottraffic.utah.gov/api/v2/get/messagesigns</t>
        </is>
      </c>
      <c r="E18" s="16" t="inlineStr">
        <is>
          <t>SKIPPED - no key</t>
        </is>
      </c>
      <c r="F18" s="5" t="inlineStr"/>
      <c r="G18" s="5" t="inlineStr"/>
      <c r="H18" s="5" t="inlineStr"/>
      <c r="I18" s="5" t="inlineStr"/>
      <c r="J18" s="5" t="inlineStr">
        <is>
          <t>Yes</t>
        </is>
      </c>
      <c r="K18" s="5" t="inlineStr">
        <is>
          <t>Free key required</t>
        </is>
      </c>
    </row>
    <row r="19">
      <c r="A19" s="8" t="inlineStr">
        <is>
          <t>WA</t>
        </is>
      </c>
      <c r="B19" s="8" t="inlineStr">
        <is>
          <t>Washington</t>
        </is>
      </c>
      <c r="C19" s="8" t="inlineStr">
        <is>
          <t>WZDx v4 Device Feed</t>
        </is>
      </c>
      <c r="D19" s="8" t="inlineStr">
        <is>
          <t>https://wzdx.wsdot.wa.gov/api/v4/DeviceFeed</t>
        </is>
      </c>
      <c r="E19" s="12" t="inlineStr">
        <is>
          <t>OK</t>
        </is>
      </c>
      <c r="F19" s="8" t="n">
        <v>4</v>
      </c>
      <c r="G19" s="35" t="n">
        <v>4</v>
      </c>
      <c r="H19" s="8" t="n">
        <v>4</v>
      </c>
      <c r="I19" s="8" t="n">
        <v>4</v>
      </c>
      <c r="J19" s="8" t="inlineStr">
        <is>
          <t>No</t>
        </is>
      </c>
      <c r="K19" s="8" t="inlineStr">
        <is>
          <t>Only true WZDx device feed in the set - real arrow boards</t>
        </is>
      </c>
    </row>
    <row r="20">
      <c r="A20" s="5" t="inlineStr">
        <is>
          <t>WI</t>
        </is>
      </c>
      <c r="B20" s="5" t="inlineStr">
        <is>
          <t>Wisconsin</t>
        </is>
      </c>
      <c r="C20" s="5" t="inlineStr">
        <is>
          <t>CARS/OneStop 511</t>
        </is>
      </c>
      <c r="D20" s="5" t="inlineStr">
        <is>
          <t>https://511wi.gov/api/v2/get/messagesigns</t>
        </is>
      </c>
      <c r="E20" s="16" t="inlineStr">
        <is>
          <t>SKIPPED - no key</t>
        </is>
      </c>
      <c r="F20" s="5" t="inlineStr"/>
      <c r="G20" s="5" t="inlineStr"/>
      <c r="H20" s="5" t="inlineStr"/>
      <c r="I20" s="5" t="inlineStr"/>
      <c r="J20" s="5" t="inlineStr">
        <is>
          <t>Yes</t>
        </is>
      </c>
      <c r="K20" s="5" t="inlineStr">
        <is>
          <t>Free key required</t>
        </is>
      </c>
    </row>
    <row r="21">
      <c r="A21" s="17" t="inlineStr"/>
      <c r="B21" s="17" t="inlineStr">
        <is>
          <t>TOTAL (feeds returning data)</t>
        </is>
      </c>
      <c r="C21" s="17" t="inlineStr"/>
      <c r="D21" s="17" t="inlineStr"/>
      <c r="E21" s="17" t="inlineStr"/>
      <c r="F21" s="17" t="n">
        <v>4720</v>
      </c>
      <c r="G21" s="36" t="n">
        <v>66</v>
      </c>
      <c r="H21" s="17" t="n">
        <v>486</v>
      </c>
      <c r="I21" s="17" t="inlineStr"/>
      <c r="J21" s="17" t="inlineStr"/>
      <c r="K21" s="17" t="inlineStr"/>
    </row>
  </sheetData>
  <autoFilter ref="A1:K21"/>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55"/>
  <sheetViews>
    <sheetView workbookViewId="0">
      <pane ySplit="1" topLeftCell="A2" activePane="bottomLeft" state="frozen"/>
      <selection pane="bottomLeft" activeCell="A1" sqref="A1"/>
    </sheetView>
  </sheetViews>
  <sheetFormatPr baseColWidth="8" defaultRowHeight="15"/>
  <cols>
    <col width="24" customWidth="1" min="1" max="1"/>
    <col width="30" customWidth="1" min="2" max="2"/>
    <col width="42" customWidth="1" min="3" max="3"/>
    <col width="74" customWidth="1" min="4" max="4"/>
    <col width="40" customWidth="1" min="5" max="5"/>
    <col width="26" customWidth="1" min="6" max="6"/>
    <col width="40" customWidth="1" min="7" max="7"/>
  </cols>
  <sheetData>
    <row r="1" ht="30" customHeight="1">
      <c r="A1" s="4" t="inlineStr">
        <is>
          <t>Stage</t>
        </is>
      </c>
      <c r="B1" s="4" t="inlineStr">
        <is>
          <t>Layer</t>
        </is>
      </c>
      <c r="C1" s="4" t="inlineStr">
        <is>
          <t>What it validates</t>
        </is>
      </c>
      <c r="D1" s="4" t="inlineStr">
        <is>
          <t>Rule / threshold as coded</t>
        </is>
      </c>
      <c r="E1" s="4" t="inlineStr">
        <is>
          <t>On fail</t>
        </is>
      </c>
      <c r="F1" s="4" t="inlineStr">
        <is>
          <t>Output field</t>
        </is>
      </c>
      <c r="G1" s="4" t="inlineStr">
        <is>
          <t>Implemented in</t>
        </is>
      </c>
    </row>
    <row r="2">
      <c r="A2" s="19" t="inlineStr">
        <is>
          <t>0. Ingest / normalize</t>
        </is>
      </c>
      <c r="B2" s="5" t="inlineStr">
        <is>
          <t>Route normalization</t>
        </is>
      </c>
      <c r="C2" s="5" t="inlineStr">
        <is>
          <t>Free-text route strings from 37 different feeds resolve to one canonical route id</t>
        </is>
      </c>
      <c r="D2" s="5" t="inlineStr">
        <is>
          <t>Regex ladder: I-nnn first (ramp strings embed it), then US-nnn, then &lt;ST&gt;-nnn. 'I 380', 'I-380', 'RAMP: I 80E TO 100TH ST' all -&gt; 'I-380'/'I-80'</t>
        </is>
      </c>
      <c r="E2" s="5" t="inlineStr">
        <is>
          <t>Returns null -&gt; the record cannot be route-matched and is skipped by the matcher</t>
        </is>
      </c>
      <c r="F2" s="5" t="inlineStr">
        <is>
          <t>route / rawRoute</t>
        </is>
      </c>
      <c r="G2" s="5" t="inlineStr">
        <is>
          <t>device-workzone-matcher.js normalizeRoute</t>
        </is>
      </c>
    </row>
    <row r="3">
      <c r="A3" s="20" t="inlineStr">
        <is>
          <t>0. Ingest / normalize</t>
        </is>
      </c>
      <c r="B3" s="8" t="inlineStr">
        <is>
          <t>Direction normalization</t>
        </is>
      </c>
      <c r="C3" s="8" t="inlineStr">
        <is>
          <t>Carriageway direction is one of N/S/E/W/BOTH</t>
        </is>
      </c>
      <c r="D3" s="8" t="inlineStr">
        <is>
          <t>First letter after uppercasing; 'Both'/'B' -&gt; BOTH; anything else -&gt; null (neutral, not a reject)</t>
        </is>
      </c>
      <c r="E3" s="8" t="inlineStr">
        <is>
          <t>null = unknown, treated as neutral rather than a mismatch</t>
        </is>
      </c>
      <c r="F3" s="8" t="inlineStr">
        <is>
          <t>direction</t>
        </is>
      </c>
      <c r="G3" s="8" t="inlineStr">
        <is>
          <t>device-workzone-matcher.js normalizeDir</t>
        </is>
      </c>
    </row>
    <row r="4">
      <c r="A4" s="19" t="inlineStr">
        <is>
          <t>0. Ingest / normalize</t>
        </is>
      </c>
      <c r="B4" s="5" t="inlineStr">
        <is>
          <t>Coordinate sanity</t>
        </is>
      </c>
      <c r="C4" s="5" t="inlineStr">
        <is>
          <t>Lat/lon are real and not a null-island artifact</t>
        </is>
      </c>
      <c r="D4" s="5" t="inlineStr">
        <is>
          <t>Both finite, not (0,0), |lat| &lt;= 90, |lon| &lt;= 180</t>
        </is>
      </c>
      <c r="E4" s="5" t="inlineStr">
        <is>
          <t>Record dropped at normalize()</t>
        </is>
      </c>
      <c r="F4" s="5" t="inlineStr">
        <is>
          <t>coordinates</t>
        </is>
      </c>
      <c r="G4" s="5" t="inlineStr">
        <is>
          <t>device-adapters.js normalize</t>
        </is>
      </c>
    </row>
    <row r="5">
      <c r="A5" s="9" t="inlineStr">
        <is>
          <t>1. Geometry</t>
        </is>
      </c>
      <c r="B5" s="8" t="inlineStr">
        <is>
          <t>Missing content</t>
        </is>
      </c>
      <c r="C5" s="8" t="inlineStr">
        <is>
          <t>Event has geometry and some human content</t>
        </is>
      </c>
      <c r="D5" s="8" t="inlineStr">
        <is>
          <t>No geometry -&gt; drop. Empty description AND empty location -&gt; drop</t>
        </is>
      </c>
      <c r="E5" s="8" t="inlineStr">
        <is>
          <t>Event filtered out entirely</t>
        </is>
      </c>
      <c r="F5" s="8" t="inlineStr">
        <is>
          <t>-</t>
        </is>
      </c>
      <c r="G5" s="8" t="inlineStr">
        <is>
          <t>geometry-validator.js</t>
        </is>
      </c>
    </row>
    <row r="6">
      <c r="A6" s="11" t="inlineStr">
        <is>
          <t>1. Geometry</t>
        </is>
      </c>
      <c r="B6" s="5" t="inlineStr">
        <is>
          <t>Fallback-geometry rejection</t>
        </is>
      </c>
      <c r="C6" s="5" t="inlineStr">
        <is>
          <t>Geometry is not an interpolated straight line masquerading as road shape</t>
        </is>
      </c>
      <c r="D6" s="5" t="inlineStr">
        <is>
          <t>geometrySource in ('straight_line','straight') -&gt; drop</t>
        </is>
      </c>
      <c r="E6" s="5" t="inlineStr">
        <is>
          <t>Event filtered out</t>
        </is>
      </c>
      <c r="F6" s="5" t="inlineStr">
        <is>
          <t>-</t>
        </is>
      </c>
      <c r="G6" s="5" t="inlineStr">
        <is>
          <t>geometry-validator.js</t>
        </is>
      </c>
    </row>
    <row r="7">
      <c r="A7" s="9" t="inlineStr">
        <is>
          <t>1. Geometry</t>
        </is>
      </c>
      <c r="B7" s="8" t="inlineStr">
        <is>
          <t>2-point LineString collapse</t>
        </is>
      </c>
      <c r="C7" s="8" t="inlineStr">
        <is>
          <t>A 2-point line carries no road shape, so it must not render as a road</t>
        </is>
      </c>
      <c r="D7" s="8" t="inlineStr">
        <is>
          <t>LineString with exactly 2 coordinates -&gt; converted to a Point at the midpoint</t>
        </is>
      </c>
      <c r="E7" s="8" t="inlineStr">
        <is>
          <t>Downgraded to a marker, not dropped</t>
        </is>
      </c>
      <c r="F7" s="8" t="inlineStr">
        <is>
          <t>_geometryFixed</t>
        </is>
      </c>
      <c r="G7" s="8" t="inlineStr">
        <is>
          <t>geometry-validator.js</t>
        </is>
      </c>
    </row>
    <row r="8">
      <c r="A8" s="11" t="inlineStr">
        <is>
          <t>1. Geometry</t>
        </is>
      </c>
      <c r="B8" s="5" t="inlineStr">
        <is>
          <t>Curvature test (long lines)</t>
        </is>
      </c>
      <c r="C8" s="5" t="inlineStr">
        <is>
          <t>A very long 'closure' line actually follows the road rather than cutting across it</t>
        </is>
      </c>
      <c r="D8" s="5" t="inlineStr">
        <is>
          <t>chord &gt; 50 mi AND path length / chord &lt; 1.05 (under 5% curvature) -&gt; drop</t>
        </is>
      </c>
      <c r="E8" s="5" t="inlineStr">
        <is>
          <t>Event filtered out</t>
        </is>
      </c>
      <c r="F8" s="5" t="inlineStr">
        <is>
          <t>-</t>
        </is>
      </c>
      <c r="G8" s="5" t="inlineStr">
        <is>
          <t>geometry-validator.js</t>
        </is>
      </c>
    </row>
    <row r="9">
      <c r="A9" s="9" t="inlineStr">
        <is>
          <t>1. Geometry</t>
        </is>
      </c>
      <c r="B9" s="8" t="inlineStr">
        <is>
          <t>Type validity</t>
        </is>
      </c>
      <c r="C9" s="8" t="inlineStr">
        <is>
          <t>Point/LineString/Polygon/Multi* are structurally well formed</t>
        </is>
      </c>
      <c r="D9" s="8" t="inlineStr">
        <is>
          <t>Point needs 2 coords; LineString &gt;= 2; Polygon outer ring &gt;= 4; Multi* non-empty; unknown type -&gt; drop</t>
        </is>
      </c>
      <c r="E9" s="8" t="inlineStr">
        <is>
          <t>Event filtered out</t>
        </is>
      </c>
      <c r="F9" s="8" t="inlineStr">
        <is>
          <t>-</t>
        </is>
      </c>
      <c r="G9" s="8" t="inlineStr">
        <is>
          <t>geometry-validator.js</t>
        </is>
      </c>
    </row>
    <row r="10">
      <c r="A10" s="6" t="inlineStr">
        <is>
          <t>2. Feed quality (DQI)</t>
        </is>
      </c>
      <c r="B10" s="5" t="inlineStr">
        <is>
          <t>Completeness (20%)</t>
        </is>
      </c>
      <c r="C10" s="5" t="inlineStr">
        <is>
          <t>Required WZDx fields are actually populated across the feed</t>
        </is>
      </c>
      <c r="D10" s="5" t="inlineStr">
        <is>
          <t>Share of events carrying end time, description, geometry, severity, lanes affected</t>
        </is>
      </c>
      <c r="E10" s="5" t="inlineStr">
        <is>
          <t>Lowers the feed's DQI and letter grade</t>
        </is>
      </c>
      <c r="F10" s="5" t="inlineStr">
        <is>
          <t>dqi.completeness</t>
        </is>
      </c>
      <c r="G10" s="5" t="inlineStr">
        <is>
          <t>feed-quality-scorer.js</t>
        </is>
      </c>
    </row>
    <row r="11">
      <c r="A11" s="12" t="inlineStr">
        <is>
          <t>2. Feed quality (DQI)</t>
        </is>
      </c>
      <c r="B11" s="8" t="inlineStr">
        <is>
          <t>Freshness (15%)</t>
        </is>
      </c>
      <c r="C11" s="8" t="inlineStr">
        <is>
          <t>The feed is being updated and events are not stale</t>
        </is>
      </c>
      <c r="D11" s="8" t="inlineStr">
        <is>
          <t>Update latency + stale-event share</t>
        </is>
      </c>
      <c r="E11" s="8" t="inlineStr">
        <is>
          <t>Lowers DQI</t>
        </is>
      </c>
      <c r="F11" s="8" t="inlineStr">
        <is>
          <t>dqi.freshness</t>
        </is>
      </c>
      <c r="G11" s="8" t="inlineStr">
        <is>
          <t>feed-quality-scorer.js</t>
        </is>
      </c>
    </row>
    <row r="12">
      <c r="A12" s="6" t="inlineStr">
        <is>
          <t>2. Feed quality (DQI)</t>
        </is>
      </c>
      <c r="B12" s="5" t="inlineStr">
        <is>
          <t>Accuracy (20%)</t>
        </is>
      </c>
      <c r="C12" s="5" t="inlineStr">
        <is>
          <t>Geometry validates and the payload matches schema</t>
        </is>
      </c>
      <c r="D12" s="5" t="inlineStr">
        <is>
          <t>Geometry validation pass rate + schema compliance</t>
        </is>
      </c>
      <c r="E12" s="5" t="inlineStr">
        <is>
          <t>Lowers DQI</t>
        </is>
      </c>
      <c r="F12" s="5" t="inlineStr">
        <is>
          <t>dqi.accuracy</t>
        </is>
      </c>
      <c r="G12" s="5" t="inlineStr">
        <is>
          <t>feed-quality-scorer.js</t>
        </is>
      </c>
    </row>
    <row r="13">
      <c r="A13" s="12" t="inlineStr">
        <is>
          <t>2. Feed quality (DQI)</t>
        </is>
      </c>
      <c r="B13" s="8" t="inlineStr">
        <is>
          <t>Availability (15%)</t>
        </is>
      </c>
      <c r="C13" s="8" t="inlineStr">
        <is>
          <t>The endpoint answers reliably</t>
        </is>
      </c>
      <c r="D13" s="8" t="inlineStr">
        <is>
          <t>Fetch success / failure history per feed key</t>
        </is>
      </c>
      <c r="E13" s="8" t="inlineStr">
        <is>
          <t>Lowers DQI; feeds an outage signal</t>
        </is>
      </c>
      <c r="F13" s="8" t="inlineStr">
        <is>
          <t>dqi.availability</t>
        </is>
      </c>
      <c r="G13" s="8" t="inlineStr">
        <is>
          <t>feed-quality-scorer.js + feed-tracking-service.js</t>
        </is>
      </c>
    </row>
    <row r="14">
      <c r="A14" s="6" t="inlineStr">
        <is>
          <t>2. Feed quality (DQI)</t>
        </is>
      </c>
      <c r="B14" s="5" t="inlineStr">
        <is>
          <t>Standardization (15%)</t>
        </is>
      </c>
      <c r="C14" s="5" t="inlineStr">
        <is>
          <t>WZDx compliance, valid event types, ITIS codes</t>
        </is>
      </c>
      <c r="D14" s="5" t="inlineStr">
        <is>
          <t>Share of events using spec-valid enumerations</t>
        </is>
      </c>
      <c r="E14" s="5" t="inlineStr">
        <is>
          <t>Lowers DQI</t>
        </is>
      </c>
      <c r="F14" s="5" t="inlineStr">
        <is>
          <t>dqi.standardization</t>
        </is>
      </c>
      <c r="G14" s="5" t="inlineStr">
        <is>
          <t>feed-quality-scorer.js</t>
        </is>
      </c>
    </row>
    <row r="15">
      <c r="A15" s="12" t="inlineStr">
        <is>
          <t>2. Feed quality (DQI)</t>
        </is>
      </c>
      <c r="B15" s="8" t="inlineStr">
        <is>
          <t>Timeliness (10%)</t>
        </is>
      </c>
      <c r="C15" s="8" t="inlineStr">
        <is>
          <t>No future-dated or long-expired events</t>
        </is>
      </c>
      <c r="D15" s="8" t="inlineStr">
        <is>
          <t>Event age distribution + future-dating check</t>
        </is>
      </c>
      <c r="E15" s="8" t="inlineStr">
        <is>
          <t>Lowers DQI</t>
        </is>
      </c>
      <c r="F15" s="8" t="inlineStr">
        <is>
          <t>dqi.timeliness</t>
        </is>
      </c>
      <c r="G15" s="8" t="inlineStr">
        <is>
          <t>feed-quality-scorer.js</t>
        </is>
      </c>
    </row>
    <row r="16">
      <c r="A16" s="6" t="inlineStr">
        <is>
          <t>2. Feed quality (DQI)</t>
        </is>
      </c>
      <c r="B16" s="5" t="inlineStr">
        <is>
          <t>Usability (5%)</t>
        </is>
      </c>
      <c r="C16" s="5" t="inlineStr">
        <is>
          <t>Contact info, restrictions, work-zone type present</t>
        </is>
      </c>
      <c r="D16" s="5" t="inlineStr">
        <is>
          <t>Share of events with actionable detail</t>
        </is>
      </c>
      <c r="E16" s="5" t="inlineStr">
        <is>
          <t>Lowers DQI</t>
        </is>
      </c>
      <c r="F16" s="5" t="inlineStr">
        <is>
          <t>dqi.usability</t>
        </is>
      </c>
      <c r="G16" s="5" t="inlineStr">
        <is>
          <t>feed-quality-scorer.js</t>
        </is>
      </c>
    </row>
    <row r="17">
      <c r="A17" s="12" t="inlineStr">
        <is>
          <t>2. Feed quality (DQI)</t>
        </is>
      </c>
      <c r="B17" s="8" t="inlineStr">
        <is>
          <t>Composite + grade</t>
        </is>
      </c>
      <c r="C17" s="8" t="inlineStr">
        <is>
          <t>One comparable number per state feed</t>
        </is>
      </c>
      <c r="D17" s="8" t="inlineStr">
        <is>
          <t>Weighted mean of the 7 dimensions (weights sum to 1.0) -&gt; letter grade A-F</t>
        </is>
      </c>
      <c r="E17" s="8" t="inlineStr">
        <is>
          <t>Published on the state report cards</t>
        </is>
      </c>
      <c r="F17" s="8" t="inlineStr">
        <is>
          <t>dqi.overall / grade</t>
        </is>
      </c>
      <c r="G17" s="8" t="inlineStr">
        <is>
          <t>feed-quality-scorer.js, report-card-service.js</t>
        </is>
      </c>
    </row>
    <row r="18">
      <c r="A18" s="6" t="inlineStr">
        <is>
          <t>3. Event confidence</t>
        </is>
      </c>
      <c r="B18" s="5" t="inlineStr">
        <is>
          <t>Completeness (35%)</t>
        </is>
      </c>
      <c r="C18" s="5" t="inlineStr">
        <is>
          <t>Per-EVENT (not per-feed) trustworthiness: are the critical fields there</t>
        </is>
      </c>
      <c r="D18" s="5" t="inlineStr">
        <is>
          <t>id, eventType, start time, finite non-zero lat/lng, and the rest of the critical field set</t>
        </is>
      </c>
      <c r="E18" s="5" t="inlineStr">
        <is>
          <t>Lowers the event's 0-100 score</t>
        </is>
      </c>
      <c r="F18" s="5" t="inlineStr">
        <is>
          <t>confidence.score</t>
        </is>
      </c>
      <c r="G18" s="5" t="inlineStr">
        <is>
          <t>event-confidence.js</t>
        </is>
      </c>
    </row>
    <row r="19">
      <c r="A19" s="12" t="inlineStr">
        <is>
          <t>3. Event confidence</t>
        </is>
      </c>
      <c r="B19" s="8" t="inlineStr">
        <is>
          <t>Geospatial precision (15%)</t>
        </is>
      </c>
      <c r="C19" s="8" t="inlineStr">
        <is>
          <t>Point coordinates AND real linestring geometry present</t>
        </is>
      </c>
      <c r="D19" s="8" t="inlineStr">
        <is>
          <t>Both lat/lng and a LineString score full credit</t>
        </is>
      </c>
      <c r="E19" s="8" t="inlineStr">
        <is>
          <t>Lowers score</t>
        </is>
      </c>
      <c r="F19" s="8" t="inlineStr">
        <is>
          <t>confidence.score</t>
        </is>
      </c>
      <c r="G19" s="8" t="inlineStr">
        <is>
          <t>event-confidence.js</t>
        </is>
      </c>
    </row>
    <row r="20">
      <c r="A20" s="6" t="inlineStr">
        <is>
          <t>3. Event confidence</t>
        </is>
      </c>
      <c r="B20" s="5" t="inlineStr">
        <is>
          <t>Temporal validity (20%)</t>
        </is>
      </c>
      <c r="C20" s="5" t="inlineStr">
        <is>
          <t>Has a start, has an end, is not stale</t>
        </is>
      </c>
      <c r="D20" s="5" t="inlineStr">
        <is>
          <t>startTime present, end time present, age within bounds</t>
        </is>
      </c>
      <c r="E20" s="5" t="inlineStr">
        <is>
          <t>Lowers score</t>
        </is>
      </c>
      <c r="F20" s="5" t="inlineStr">
        <is>
          <t>confidence.score</t>
        </is>
      </c>
      <c r="G20" s="5" t="inlineStr">
        <is>
          <t>event-confidence.js</t>
        </is>
      </c>
    </row>
    <row r="21">
      <c r="A21" s="12" t="inlineStr">
        <is>
          <t>3. Event confidence</t>
        </is>
      </c>
      <c r="B21" s="8" t="inlineStr">
        <is>
          <t>Description quality (15%)</t>
        </is>
      </c>
      <c r="C21" s="8" t="inlineStr">
        <is>
          <t>The narrative is specific, not boilerplate</t>
        </is>
      </c>
      <c r="D21" s="8" t="inlineStr">
        <is>
          <t>Length / specificity heuristic on the description</t>
        </is>
      </c>
      <c r="E21" s="8" t="inlineStr">
        <is>
          <t>Lowers score</t>
        </is>
      </c>
      <c r="F21" s="8" t="inlineStr">
        <is>
          <t>confidence.score</t>
        </is>
      </c>
      <c r="G21" s="8" t="inlineStr">
        <is>
          <t>event-confidence.js</t>
        </is>
      </c>
    </row>
    <row r="22">
      <c r="A22" s="6" t="inlineStr">
        <is>
          <t>3. Event confidence</t>
        </is>
      </c>
      <c r="B22" s="5" t="inlineStr">
        <is>
          <t>Verification (15%)</t>
        </is>
      </c>
      <c r="C22" s="5" t="inlineStr">
        <is>
          <t>DOT operator comments corroborate the record</t>
        </is>
      </c>
      <c r="D22" s="5" t="inlineStr">
        <is>
          <t>Presence of corroborating operator narrative</t>
        </is>
      </c>
      <c r="E22" s="5" t="inlineStr">
        <is>
          <t>Lowers score</t>
        </is>
      </c>
      <c r="F22" s="5" t="inlineStr">
        <is>
          <t>confidence.score</t>
        </is>
      </c>
      <c r="G22" s="5" t="inlineStr">
        <is>
          <t>event-confidence.js</t>
        </is>
      </c>
    </row>
    <row r="23">
      <c r="A23" s="12" t="inlineStr">
        <is>
          <t>3. Event confidence</t>
        </is>
      </c>
      <c r="B23" s="8" t="inlineStr">
        <is>
          <t>Level banding</t>
        </is>
      </c>
      <c r="C23" s="8" t="inlineStr">
        <is>
          <t>Score becomes an operator-facing label</t>
        </is>
      </c>
      <c r="D23" s="8" t="inlineStr">
        <is>
          <t>VERIFIED &gt;= 85, HIGH 70-84, MEDIUM 50-69, LOW 30-49, UNVERIFIED &lt; 30</t>
        </is>
      </c>
      <c r="E23" s="8" t="inlineStr">
        <is>
          <t>Drives downstream filtering and display</t>
        </is>
      </c>
      <c r="F23" s="8" t="inlineStr">
        <is>
          <t>confidence.level</t>
        </is>
      </c>
      <c r="G23" s="8" t="inlineStr">
        <is>
          <t>event-confidence.js levelFromScore</t>
        </is>
      </c>
    </row>
    <row r="24">
      <c r="A24" s="21" t="inlineStr">
        <is>
          <t>4. Validator - DEVICE</t>
        </is>
      </c>
      <c r="B24" s="5" t="inlineStr">
        <is>
          <t>Gate 1: route</t>
        </is>
      </c>
      <c r="C24" s="5" t="inlineStr">
        <is>
          <t>The arrow board / portable DMS is on the same route as the zone</t>
        </is>
      </c>
      <c r="D24" s="5" t="inlineStr">
        <is>
          <t>Device route must equal the zone's normalized route. A route-LESS device is allowed through on the other gates but starts at 30 base credit instead of 40</t>
        </is>
      </c>
      <c r="E24" s="5" t="inlineStr">
        <is>
          <t>Return null - not a match</t>
        </is>
      </c>
      <c r="F24" s="5" t="inlineStr">
        <is>
          <t>x_cwz_connected</t>
        </is>
      </c>
      <c r="G24" s="5" t="inlineStr">
        <is>
          <t>device-workzone-matcher.js scoreMatch</t>
        </is>
      </c>
    </row>
    <row r="25">
      <c r="A25" s="22" t="inlineStr">
        <is>
          <t>4. Validator - DEVICE</t>
        </is>
      </c>
      <c r="B25" s="8" t="inlineStr">
        <is>
          <t>Gate 2: carriageway</t>
        </is>
      </c>
      <c r="C25" s="8" t="inlineStr">
        <is>
          <t>The device is not on the opposite side of a divided highway</t>
        </is>
      </c>
      <c r="D25" s="8" t="inlineStr">
        <is>
          <t>Same direction = +25; either side BOTH = +12; opposite = reject; unknown on either side = neutral (0, no reject)</t>
        </is>
      </c>
      <c r="E25" s="8" t="inlineStr">
        <is>
          <t>Opposite carriageway -&gt; reject</t>
        </is>
      </c>
      <c r="F25" s="8" t="inlineStr">
        <is>
          <t>x_cwz_connected</t>
        </is>
      </c>
      <c r="G25" s="8" t="inlineStr">
        <is>
          <t>device-workzone-matcher.js</t>
        </is>
      </c>
    </row>
    <row r="26">
      <c r="A26" s="21" t="inlineStr">
        <is>
          <t>4. Validator - DEVICE</t>
        </is>
      </c>
      <c r="B26" s="5" t="inlineStr">
        <is>
          <t>Gate 3: proximity</t>
        </is>
      </c>
      <c r="C26" s="5" t="inlineStr">
        <is>
          <t>The device is close enough to plausibly belong to the zone</t>
        </is>
      </c>
      <c r="D26" s="5" t="inlineStr">
        <is>
          <t>Distance to the zone geometry (snapped onto the line, or to the point) must be &lt;= 1600 m (~1 mi). Spatial credit = 25 * (1 - d/1600). &lt;= 150 m counts as effectively on the zone</t>
        </is>
      </c>
      <c r="E26" s="5" t="inlineStr">
        <is>
          <t>Beyond 1600 m -&gt; reject</t>
        </is>
      </c>
      <c r="F26" s="5" t="inlineStr">
        <is>
          <t>x_connected_devices[].distanceM</t>
        </is>
      </c>
      <c r="G26" s="5" t="inlineStr">
        <is>
          <t>device-workzone-matcher.js</t>
        </is>
      </c>
    </row>
    <row r="27">
      <c r="A27" s="22" t="inlineStr">
        <is>
          <t>4. Validator - DEVICE</t>
        </is>
      </c>
      <c r="B27" s="8" t="inlineStr">
        <is>
          <t>Gate 4: upstream (Field Escort rule)</t>
        </is>
      </c>
      <c r="C27" s="8" t="inlineStr">
        <is>
          <t>The board sits UPSTREAM of the zone in the served travel direction - traffic has not already passed it</t>
        </is>
      </c>
      <c r="D27" s="8" t="inlineStr">
        <is>
          <t>isUpstream() against the matched reference point. Skipped when the device is alongside the zone or direction is unknown/BOTH</t>
        </is>
      </c>
      <c r="E27" s="8" t="inlineStr">
        <is>
          <t>Downstream -&gt; reject (it belongs to a different zone)</t>
        </is>
      </c>
      <c r="F27" s="8" t="inlineStr">
        <is>
          <t>reasons[]</t>
        </is>
      </c>
      <c r="G27" s="8" t="inlineStr">
        <is>
          <t>device-workzone-matcher.js</t>
        </is>
      </c>
    </row>
    <row r="28">
      <c r="A28" s="21" t="inlineStr">
        <is>
          <t>4. Validator - DEVICE</t>
        </is>
      </c>
      <c r="B28" s="5" t="inlineStr">
        <is>
          <t>Temporal</t>
        </is>
      </c>
      <c r="C28" s="5" t="inlineStr">
        <is>
          <t>The device reported recently and inside the zone's active window</t>
        </is>
      </c>
      <c r="D28" s="5" t="inlineStr">
        <is>
          <t>Fresh = reported within 2 h (+5). Also checks the report timestamp falls between event start and end</t>
        </is>
      </c>
      <c r="E28" s="5" t="inlineStr">
        <is>
          <t>Stale still matches but scores 5 lower</t>
        </is>
      </c>
      <c r="F28" s="5" t="inlineStr">
        <is>
          <t>fresh</t>
        </is>
      </c>
      <c r="G28" s="5" t="inlineStr">
        <is>
          <t>device-workzone-matcher.js</t>
        </is>
      </c>
    </row>
    <row r="29">
      <c r="A29" s="22" t="inlineStr">
        <is>
          <t>4. Validator - DEVICE</t>
        </is>
      </c>
      <c r="B29" s="8" t="inlineStr">
        <is>
          <t>Deployment state</t>
        </is>
      </c>
      <c r="C29" s="8" t="inlineStr">
        <is>
          <t>The board is actually ON, not blank / in transit</t>
        </is>
      </c>
      <c r="D29" s="8" t="inlineStr">
        <is>
          <t>mode.displaying true (arrow/chevron/caution pattern) = +5</t>
        </is>
      </c>
      <c r="E29" s="8" t="inlineStr">
        <is>
          <t>An off board can match but never AUTO-links (requireOnForAuto)</t>
        </is>
      </c>
      <c r="F29" s="8" t="inlineStr">
        <is>
          <t>mode.displaying</t>
        </is>
      </c>
      <c r="G29" s="8" t="inlineStr">
        <is>
          <t>device-workzone-matcher.js</t>
        </is>
      </c>
    </row>
    <row r="30">
      <c r="A30" s="21" t="inlineStr">
        <is>
          <t>4. Validator - DEVICE</t>
        </is>
      </c>
      <c r="B30" s="5" t="inlineStr">
        <is>
          <t>Scoring + banding</t>
        </is>
      </c>
      <c r="C30" s="5" t="inlineStr">
        <is>
          <t>Confidence is an honest number; questionable links go to a human</t>
        </is>
      </c>
      <c r="D30" s="5" t="inlineStr">
        <is>
          <t>confidence = (40 if route known else 30) + dir + spatial + temporal + deploy. &gt;= 75 auto-link; 60-74 review queue; &lt; 60 no link. 'off' or &gt; 800 m block AUTO without lowering the score</t>
        </is>
      </c>
      <c r="E30" s="5" t="inlineStr">
        <is>
          <t>Below 60 no link; 60-74 surfaced for confirmation</t>
        </is>
      </c>
      <c r="F30" s="5" t="inlineStr">
        <is>
          <t>x_connected_confidence</t>
        </is>
      </c>
      <c r="G30" s="5" t="inlineStr">
        <is>
          <t>device-workzone-matcher.js DEFAULTS</t>
        </is>
      </c>
    </row>
    <row r="31">
      <c r="A31" s="22" t="inlineStr">
        <is>
          <t>4. Validator - DEVICE</t>
        </is>
      </c>
      <c r="B31" s="8" t="inlineStr">
        <is>
          <t>Independent post-check</t>
        </is>
      </c>
      <c r="C31" s="8" t="inlineStr">
        <is>
          <t>The auto-links are audited using signals the matcher did NOT use</t>
        </is>
      </c>
      <c r="D31" s="8" t="inlineStr">
        <is>
          <t>Self-location parsed out of the device NAME ('SS2426 - I-35 NB @ MM 71.6') vs the feed's Route/Direction fields; message-vs-zone-type clash (the rest-area case); temporal; far / 'dir both' downgrades</t>
        </is>
      </c>
      <c r="E31" s="8" t="inlineStr">
        <is>
          <t>Link downgraded and surfaced in the validation panel</t>
        </is>
      </c>
      <c r="F31" s="8" t="inlineStr">
        <is>
          <t>validation flags</t>
        </is>
      </c>
      <c r="G31" s="8" t="inlineStr">
        <is>
          <t>device-validation.js</t>
        </is>
      </c>
    </row>
    <row r="32">
      <c r="A32" s="21" t="inlineStr">
        <is>
          <t>4. Validator - CAMERA</t>
        </is>
      </c>
      <c r="B32" s="5" t="inlineStr">
        <is>
          <t>Match (free, no network)</t>
        </is>
      </c>
      <c r="C32" s="5" t="inlineStr">
        <is>
          <t>There is a camera that could plausibly see the zone</t>
        </is>
      </c>
      <c r="D32" s="5" t="inlineStr">
        <is>
          <t>Nearest camera on the SAME interstate within 1500 m</t>
        </is>
      </c>
      <c r="E32" s="5" t="inlineStr">
        <is>
          <t>No camera -&gt; no camera check is attempted</t>
        </is>
      </c>
      <c r="F32" s="5" t="inlineStr">
        <is>
          <t>x_camera_id</t>
        </is>
      </c>
      <c r="G32" s="5" t="inlineStr">
        <is>
          <t>camera-validation.js matchCamera</t>
        </is>
      </c>
    </row>
    <row r="33">
      <c r="A33" s="22" t="inlineStr">
        <is>
          <t>4. Validator - CAMERA</t>
        </is>
      </c>
      <c r="B33" s="8" t="inlineStr">
        <is>
          <t>Active-now gate</t>
        </is>
      </c>
      <c r="C33" s="8" t="inlineStr">
        <is>
          <t>Do not spend a vision call on a zone WZDx says is not running</t>
        </is>
      </c>
      <c r="D33" s="8" t="inlineStr">
        <is>
          <t>isActiveNow(): now between start and end. null (no start date) also skips</t>
        </is>
      </c>
      <c r="E33" s="8" t="inlineStr">
        <is>
          <t>Skipped, no cost</t>
        </is>
      </c>
      <c r="F33" s="8" t="inlineStr">
        <is>
          <t>-</t>
        </is>
      </c>
      <c r="G33" s="8" t="inlineStr">
        <is>
          <t>camera-validation.js isActiveNow</t>
        </is>
      </c>
    </row>
    <row r="34">
      <c r="A34" s="21" t="inlineStr">
        <is>
          <t>4. Validator - CAMERA</t>
        </is>
      </c>
      <c r="B34" s="5" t="inlineStr">
        <is>
          <t>Vision inference</t>
        </is>
      </c>
      <c r="C34" s="5" t="inlineStr">
        <is>
          <t>Temporary traffic control is physically deployed, not stored</t>
        </is>
      </c>
      <c r="D34" s="5" t="inlineStr">
        <is>
          <t>ONE inference on the still snapshot returning {work_zone, deployed, staged_only, devices[arrow-board,cones,barrels,drums,signs,workers,tma], confidence}. Only DEPLOYED counts - staged/stored cones do not</t>
        </is>
      </c>
      <c r="E34" s="5" t="inlineStr">
        <is>
          <t>No detection = soft negative (proximity is not line-of-sight; most feeds have no PTZ/heading)</t>
        </is>
      </c>
      <c r="F34" s="5" t="inlineStr">
        <is>
          <t>x_camera_verified, x_camera_detected</t>
        </is>
      </c>
      <c r="G34" s="5" t="inlineStr">
        <is>
          <t>camera-validation.js detect</t>
        </is>
      </c>
    </row>
    <row r="35">
      <c r="A35" s="22" t="inlineStr">
        <is>
          <t>4. Validator - CAMERA</t>
        </is>
      </c>
      <c r="B35" s="8" t="inlineStr">
        <is>
          <t>Cost controls</t>
        </is>
      </c>
      <c r="C35" s="8" t="inlineStr">
        <is>
          <t>Vision spend cannot run away</t>
        </is>
      </c>
      <c r="D35" s="8" t="inlineStr">
        <is>
          <t>Gated on a vision key being set (otherwise available:false, $0); per-snapshot-URL cache TTL 10 min; on-demand only, never in a timer or the shared refresh; cheapest model, tiny token budget; max 25 zones per scan</t>
        </is>
      </c>
      <c r="E35" s="8" t="inlineStr">
        <is>
          <t>Silently unavailable rather than billing</t>
        </is>
      </c>
      <c r="F35" s="8" t="inlineStr">
        <is>
          <t>-</t>
        </is>
      </c>
      <c r="G35" s="8" t="inlineStr">
        <is>
          <t>camera-validation.js, camera-scan.js</t>
        </is>
      </c>
    </row>
    <row r="36">
      <c r="A36" s="21" t="inlineStr">
        <is>
          <t>4. Validator - CAMERA</t>
        </is>
      </c>
      <c r="B36" s="5" t="inlineStr">
        <is>
          <t>Check-count policy</t>
        </is>
      </c>
      <c r="C36" s="5" t="inlineStr">
        <is>
          <t>A closure is never re-billed indefinitely</t>
        </is>
      </c>
      <c r="D36" s="5" t="inlineStr">
        <is>
          <t>Check #1 only within 90 min of start. If it sees nothing, ONE follow-up after 30 min. Hard cap 2 vision checks per closure ever. A non-detection while vision is off does NOT consume a check</t>
        </is>
      </c>
      <c r="E36" s="5" t="inlineStr">
        <is>
          <t>Ledger enforces the cap across restarts</t>
        </is>
      </c>
      <c r="F36" s="5" t="inlineStr">
        <is>
          <t>camera_check_ledger.checks</t>
        </is>
      </c>
      <c r="G36" s="5" t="inlineStr">
        <is>
          <t>camera-scan.js, camera-check-ledger.js</t>
        </is>
      </c>
    </row>
    <row r="37">
      <c r="A37" s="22" t="inlineStr">
        <is>
          <t>4. Validator - CAMERA</t>
        </is>
      </c>
      <c r="B37" s="8" t="inlineStr">
        <is>
          <t>Removal detection (daily)</t>
        </is>
      </c>
      <c r="C37" s="8" t="inlineStr">
        <is>
          <t>A multi-day zone that is actually finished stops being elevated even if WZDx still lists it</t>
        </is>
      </c>
      <c r="D37" s="8" t="inlineStr">
        <is>
          <t>Confirmed multi-day closures get one check per 24 h; traffic control gone -&gt; tc_removed. This is the ONLY validator that can take verification away</t>
        </is>
      </c>
      <c r="E37" s="8" t="inlineStr">
        <is>
          <t>Zone drops out of the verified set</t>
        </is>
      </c>
      <c r="F37" s="8" t="inlineStr">
        <is>
          <t>tc_removed</t>
        </is>
      </c>
      <c r="G37" s="8" t="inlineStr">
        <is>
          <t>camera-check-ledger.js</t>
        </is>
      </c>
    </row>
    <row r="38">
      <c r="A38" s="21" t="inlineStr">
        <is>
          <t>4. Validator - PROBE (TomTom)</t>
        </is>
      </c>
      <c r="B38" s="5" t="inlineStr">
        <is>
          <t>Category filter</t>
        </is>
      </c>
      <c r="C38" s="5" t="inlineStr">
        <is>
          <t>Only genuine work-zone incidents count as corroboration</t>
        </is>
      </c>
      <c r="D38" s="5" t="inlineStr">
        <is>
          <t>iconCategory in {7 lane closed, 8 road closed, 9 road works}; lat/lon finite</t>
        </is>
      </c>
      <c r="E38" s="5" t="inlineStr">
        <is>
          <t>Other incident types ignored</t>
        </is>
      </c>
      <c r="F38" s="5" t="inlineStr">
        <is>
          <t>-</t>
        </is>
      </c>
      <c r="G38" s="5" t="inlineStr">
        <is>
          <t>tomtom-corroboration.js</t>
        </is>
      </c>
    </row>
    <row r="39">
      <c r="A39" s="22" t="inlineStr">
        <is>
          <t>4. Validator - PROBE (TomTom)</t>
        </is>
      </c>
      <c r="B39" s="8" t="inlineStr">
        <is>
          <t>Spatial + route match</t>
        </is>
      </c>
      <c r="C39" s="8" t="inlineStr">
        <is>
          <t>The independent incident is at the same place on the same road</t>
        </is>
      </c>
      <c r="D39" s="8" t="inlineStr">
        <is>
          <t>Same interstate, within 1500 m (maxM default)</t>
        </is>
      </c>
      <c r="E39" s="8" t="inlineStr">
        <is>
          <t>No stamp applied</t>
        </is>
      </c>
      <c r="F39" s="8" t="inlineStr">
        <is>
          <t>x_tomtom_corroborated</t>
        </is>
      </c>
      <c r="G39" s="8" t="inlineStr">
        <is>
          <t>tomtom-corroboration.js</t>
        </is>
      </c>
    </row>
    <row r="40">
      <c r="A40" s="21" t="inlineStr">
        <is>
          <t>4. Validator - PROBE (TomTom)</t>
        </is>
      </c>
      <c r="B40" s="5" t="inlineStr">
        <is>
          <t>Independence + cost</t>
        </is>
      </c>
      <c r="C40" s="5" t="inlineStr">
        <is>
          <t>This is a genuinely non-DOT opinion, obtained cheaply</t>
        </is>
      </c>
      <c r="D40" s="5" t="inlineStr">
        <is>
          <t>TomTom's own probe network, not the state that published the zone. Reuses the already-cached incident set - zero extra API calls in the corroborator. Upstream fetch is budget- and rate-capped with a circuit breaker</t>
        </is>
      </c>
      <c r="E40" s="5" t="inlineStr">
        <is>
          <t>Absence never demotes a zone</t>
        </is>
      </c>
      <c r="F40" s="5" t="inlineStr">
        <is>
          <t>x_tomtom_corroborated</t>
        </is>
      </c>
      <c r="G40" s="5" t="inlineStr">
        <is>
          <t>tomtom-corroboration.js, tomtom-incidents.js</t>
        </is>
      </c>
    </row>
    <row r="41">
      <c r="A41" s="22" t="inlineStr">
        <is>
          <t>4. Validator - DMS</t>
        </is>
      </c>
      <c r="B41" s="8" t="inlineStr">
        <is>
          <t>Message content (strong)</t>
        </is>
      </c>
      <c r="C41" s="8" t="inlineStr">
        <is>
          <t>The sign genuinely states roadwork or a closure</t>
        </is>
      </c>
      <c r="D41" s="8" t="inlineStr">
        <is>
          <t>WZ_STRONG regex: ROAD WORK, WORK ZONE, LANE CLOSED, &lt;n&gt; LANES CLOSED, SHOULDER CLOSED/WORK, ROAD CLOSED, CLOSED AT/AHEAD/&lt;day&gt;, RAMP CLOSED, DETOUR, CONSTRUCTION, PAVING, MILLING, BRIDGE WORK, WORK AHEAD</t>
        </is>
      </c>
      <c r="E41" s="8" t="inlineStr">
        <is>
          <t>No match -&gt; not evidence</t>
        </is>
      </c>
      <c r="F41" s="8" t="inlineStr">
        <is>
          <t>x_dms_corroborated</t>
        </is>
      </c>
      <c r="G41" s="8" t="inlineStr">
        <is>
          <t>dms-corroboration.js</t>
        </is>
      </c>
    </row>
    <row r="42">
      <c r="A42" s="21" t="inlineStr">
        <is>
          <t>4. Validator - DMS</t>
        </is>
      </c>
      <c r="B42" s="5" t="inlineStr">
        <is>
          <t>Message content (exclusions)</t>
        </is>
      </c>
      <c r="C42" s="5" t="inlineStr">
        <is>
          <t>The unrelated messages a board cycles through are never counted</t>
        </is>
      </c>
      <c r="D42" s="5" t="inlineStr">
        <is>
          <t>WZ_EXCLUDE regex rejects Amber/Silver/Blue alerts, seat-belt / drive-sober / phone-down / move-over campaigns, travel times and '&lt;n&gt; MIN', weather (wind, fog, snow, ice), crashes and disabled vehicles, game-day traffic, election notices</t>
        </is>
      </c>
      <c r="E42" s="5" t="inlineStr">
        <is>
          <t>Rejected even if a STRONG token also appears</t>
        </is>
      </c>
      <c r="F42" s="5" t="inlineStr">
        <is>
          <t>-</t>
        </is>
      </c>
      <c r="G42" s="5" t="inlineStr">
        <is>
          <t>dms-corroboration.js isWorkZoneMsg</t>
        </is>
      </c>
    </row>
    <row r="43">
      <c r="A43" s="22" t="inlineStr">
        <is>
          <t>4. Validator - DMS</t>
        </is>
      </c>
      <c r="B43" s="8" t="inlineStr">
        <is>
          <t>Weak-token removal</t>
        </is>
      </c>
      <c r="C43" s="8" t="inlineStr">
        <is>
          <t>Bare tokens that also appear in incident and generic messages do not qualify</t>
        </is>
      </c>
      <c r="D43" s="8" t="inlineStr">
        <is>
          <t>Deliberately dropped from the old rule: a lone CLOSED, MERGE, WORKERS, REDUCED SPEED, EXPECT DELAY</t>
        </is>
      </c>
      <c r="E43" s="8" t="inlineStr">
        <is>
          <t>Requires a specific phrase instead</t>
        </is>
      </c>
      <c r="F43" s="8" t="inlineStr">
        <is>
          <t>-</t>
        </is>
      </c>
      <c r="G43" s="8" t="inlineStr">
        <is>
          <t>dms-corroboration.js</t>
        </is>
      </c>
    </row>
    <row r="44">
      <c r="A44" s="21" t="inlineStr">
        <is>
          <t>4. Validator - DMS</t>
        </is>
      </c>
      <c r="B44" s="5" t="inlineStr">
        <is>
          <t>Spatial + route match</t>
        </is>
      </c>
      <c r="C44" s="5" t="inlineStr">
        <is>
          <t>The sign is near the zone, on the same road when known</t>
        </is>
      </c>
      <c r="D44" s="5" t="inlineStr">
        <is>
          <t>Same interstate when known, within a few miles; zone must be active now</t>
        </is>
      </c>
      <c r="E44" s="5" t="inlineStr">
        <is>
          <t>No stamp applied</t>
        </is>
      </c>
      <c r="F44" s="5" t="inlineStr">
        <is>
          <t>x_dms_corroborated</t>
        </is>
      </c>
      <c r="G44" s="5" t="inlineStr">
        <is>
          <t>dms-corroboration.js</t>
        </is>
      </c>
    </row>
    <row r="45">
      <c r="A45" s="22" t="inlineStr">
        <is>
          <t>4. Validator - DMS</t>
        </is>
      </c>
      <c r="B45" s="8" t="inlineStr">
        <is>
          <t>Independence</t>
        </is>
      </c>
      <c r="C45" s="8" t="inlineStr">
        <is>
          <t>A human operator in a different system posted this</t>
        </is>
      </c>
      <c r="D45" s="8" t="inlineStr">
        <is>
          <t>DMS text is authored by an operator, not exported by the same automated WZDx pipeline being validated</t>
        </is>
      </c>
      <c r="E45" s="8" t="inlineStr">
        <is>
          <t>Absence never demotes</t>
        </is>
      </c>
      <c r="F45" s="8" t="inlineStr">
        <is>
          <t>x_dms_corroborated</t>
        </is>
      </c>
      <c r="G45" s="8" t="inlineStr">
        <is>
          <t>dms-corroboration.js</t>
        </is>
      </c>
    </row>
    <row r="46">
      <c r="A46" s="23" t="inlineStr">
        <is>
          <t>5. Composition (CWZ 1.0)</t>
        </is>
      </c>
      <c r="B46" s="5" t="inlineStr">
        <is>
          <t>Positive-only semantics</t>
        </is>
      </c>
      <c r="C46" s="5" t="inlineStr">
        <is>
          <t>A validator can only ever RAISE confidence</t>
        </is>
      </c>
      <c r="D46" s="5" t="inlineStr">
        <is>
          <t>All four validators are positive-only. The single exception is the camera validator's daily removal check, which can withdraw verification</t>
        </is>
      </c>
      <c r="E46" s="5" t="inlineStr">
        <is>
          <t>Missing evidence is never treated as disproof</t>
        </is>
      </c>
      <c r="F46" s="5" t="inlineStr">
        <is>
          <t>x_verification[]</t>
        </is>
      </c>
      <c r="G46" s="5" t="inlineStr">
        <is>
          <t>cwz-roadevent-feed.js</t>
        </is>
      </c>
    </row>
    <row r="47">
      <c r="A47" s="24" t="inlineStr">
        <is>
          <t>5. Composition (CWZ 1.0)</t>
        </is>
      </c>
      <c r="B47" s="8" t="inlineStr">
        <is>
          <t>Source set</t>
        </is>
      </c>
      <c r="C47" s="8" t="inlineStr">
        <is>
          <t>Which independent systems agree about this zone</t>
        </is>
      </c>
      <c r="D47" s="8" t="inlineStr">
        <is>
          <t>x_verification collects any of: device, camera, tomtom, dms</t>
        </is>
      </c>
      <c r="E47" s="8" t="inlineStr">
        <is>
          <t>Empty array = unverified</t>
        </is>
      </c>
      <c r="F47" s="8" t="inlineStr">
        <is>
          <t>x_verification</t>
        </is>
      </c>
      <c r="G47" s="8" t="inlineStr">
        <is>
          <t>cwz-roadevent-feed.js</t>
        </is>
      </c>
    </row>
    <row r="48">
      <c r="A48" s="23" t="inlineStr">
        <is>
          <t>5. Composition (CWZ 1.0)</t>
        </is>
      </c>
      <c r="B48" s="5" t="inlineStr">
        <is>
          <t>Corroboration count</t>
        </is>
      </c>
      <c r="C48" s="5" t="inlineStr">
        <is>
          <t>How many INDEPENDENT sources agree - kept separate from how many devices are present</t>
        </is>
      </c>
      <c r="D48" s="5" t="inlineStr">
        <is>
          <t>x_verification_count = number of distinct validators. x_connected_device_count is the physical device count and can be 0 while the zone is still corroborated by camera/TomTom/DMS</t>
        </is>
      </c>
      <c r="E48" s="5" t="inlineStr">
        <is>
          <t>The two numbers are never conflated</t>
        </is>
      </c>
      <c r="F48" s="5" t="inlineStr">
        <is>
          <t>x_verification_count</t>
        </is>
      </c>
      <c r="G48" s="5" t="inlineStr">
        <is>
          <t>cwz-roadevent-feed.js</t>
        </is>
      </c>
    </row>
    <row r="49">
      <c r="A49" s="24" t="inlineStr">
        <is>
          <t>5. Composition (CWZ 1.0)</t>
        </is>
      </c>
      <c r="B49" s="8" t="inlineStr">
        <is>
          <t>Confidence tier</t>
        </is>
      </c>
      <c r="C49" s="8" t="inlineStr">
        <is>
          <t>Operator-facing banding of the corroboration count</t>
        </is>
      </c>
      <c r="D49" s="8" t="inlineStr">
        <is>
          <t>&gt;= 2 sources = 'multi-source'; exactly 1 = 'single-source'; 0 = 'unverified'</t>
        </is>
      </c>
      <c r="E49" s="8" t="inlineStr">
        <is>
          <t>Drives the multi-source filter on the elevated feed</t>
        </is>
      </c>
      <c r="F49" s="8" t="inlineStr">
        <is>
          <t>x_confidence_tier</t>
        </is>
      </c>
      <c r="G49" s="8" t="inlineStr">
        <is>
          <t>cwz-roadevent-feed.js</t>
        </is>
      </c>
    </row>
    <row r="50">
      <c r="A50" s="23" t="inlineStr">
        <is>
          <t>5. Composition (CWZ 1.0)</t>
        </is>
      </c>
      <c r="B50" s="5" t="inlineStr">
        <is>
          <t>Sticky accumulation</t>
        </is>
      </c>
      <c r="C50" s="5" t="inlineStr">
        <is>
          <t>Evidence accumulates rather than flickering between refreshes</t>
        </is>
      </c>
      <c r="D50" s="5" t="inlineStr">
        <is>
          <t>Verification flags persist once earned (camera removal excepted), so a zone does not oscillate as individual sources come and go</t>
        </is>
      </c>
      <c r="E50" s="5" t="inlineStr">
        <is>
          <t>-</t>
        </is>
      </c>
      <c r="F50" s="5" t="inlineStr">
        <is>
          <t>x_connection_status</t>
        </is>
      </c>
      <c r="G50" s="5" t="inlineStr">
        <is>
          <t>validation-ledger.js</t>
        </is>
      </c>
    </row>
    <row r="51">
      <c r="A51" s="24" t="inlineStr">
        <is>
          <t>5. Composition (CWZ 1.0)</t>
        </is>
      </c>
      <c r="B51" s="8" t="inlineStr">
        <is>
          <t>WZDx output</t>
        </is>
      </c>
      <c r="C51" s="8" t="inlineStr">
        <is>
          <t>The result is a spec-valid feed others can consume</t>
        </is>
      </c>
      <c r="D51" s="8" t="inlineStr">
        <is>
          <t>Emitted as WZDx v4.2 / CWZ 1.0 WorkZoneRoadEvent features with is_start_position_verified and the x_* evidence fields</t>
        </is>
      </c>
      <c r="E51" s="8" t="inlineStr">
        <is>
          <t>-</t>
        </is>
      </c>
      <c r="F51" s="8" t="inlineStr">
        <is>
          <t>full feature</t>
        </is>
      </c>
      <c r="G51" s="8" t="inlineStr">
        <is>
          <t>cwz-roadevent-feed.js, cwz-device-feed.js</t>
        </is>
      </c>
    </row>
    <row r="52">
      <c r="A52" s="19" t="inlineStr">
        <is>
          <t>6. Monitoring</t>
        </is>
      </c>
      <c r="B52" s="5" t="inlineStr">
        <is>
          <t>Feed health</t>
        </is>
      </c>
      <c r="C52" s="5" t="inlineStr">
        <is>
          <t>The upstream source itself is alive</t>
        </is>
      </c>
      <c r="D52" s="5" t="inlineStr">
        <is>
          <t>Is DMS_View returning data? how many devices are stale? fetch success history per feed</t>
        </is>
      </c>
      <c r="E52" s="5" t="inlineStr">
        <is>
          <t>Surfaced in the validation panel and availability dimension</t>
        </is>
      </c>
      <c r="F52" s="5" t="inlineStr">
        <is>
          <t>-</t>
        </is>
      </c>
      <c r="G52" s="5" t="inlineStr">
        <is>
          <t>device-validation.js, feed-tracking-service.js</t>
        </is>
      </c>
    </row>
    <row r="53">
      <c r="A53" s="20" t="inlineStr">
        <is>
          <t>6. Monitoring</t>
        </is>
      </c>
      <c r="B53" s="8" t="inlineStr">
        <is>
          <t>Coverage</t>
        </is>
      </c>
      <c r="C53" s="8" t="inlineStr">
        <is>
          <t>How much of the network actually has independent evidence</t>
        </is>
      </c>
      <c r="D53" s="8" t="inlineStr">
        <is>
          <t>Share of active work zones with a connected device / any verification source</t>
        </is>
      </c>
      <c r="E53" s="8" t="inlineStr">
        <is>
          <t>Reported, not enforced</t>
        </is>
      </c>
      <c r="F53" s="8" t="inlineStr">
        <is>
          <t>-</t>
        </is>
      </c>
      <c r="G53" s="8" t="inlineStr">
        <is>
          <t>device-validation.js, coverage-gap-analyzer.js</t>
        </is>
      </c>
    </row>
    <row r="54">
      <c r="A54" s="19" t="inlineStr">
        <is>
          <t>6. Monitoring</t>
        </is>
      </c>
      <c r="B54" s="5" t="inlineStr">
        <is>
          <t>Lifecycle</t>
        </is>
      </c>
      <c r="C54" s="5" t="inlineStr">
        <is>
          <t>Events are retired when they should be</t>
        </is>
      </c>
      <c r="D54" s="5" t="inlineStr">
        <is>
          <t>Event lifecycle manager ages out and closes events; camera tc_removed feeds the same decision</t>
        </is>
      </c>
      <c r="E54" s="5" t="inlineStr">
        <is>
          <t>Event leaves the active set</t>
        </is>
      </c>
      <c r="F54" s="5" t="inlineStr">
        <is>
          <t>-</t>
        </is>
      </c>
      <c r="G54" s="5" t="inlineStr">
        <is>
          <t>event-lifecycle-manager.js</t>
        </is>
      </c>
    </row>
    <row r="55">
      <c r="A55" s="20" t="inlineStr">
        <is>
          <t>6. Monitoring</t>
        </is>
      </c>
      <c r="B55" s="8" t="inlineStr">
        <is>
          <t>Exceptions / stewardship</t>
        </is>
      </c>
      <c r="C55" s="8" t="inlineStr">
        <is>
          <t>A human is told when something needs attention</t>
        </is>
      </c>
      <c r="D55" s="8" t="inlineStr">
        <is>
          <t>Work-zone exceptions raised to stewards (WZ_STEWARDS) via WZ_NOTIFY_WEBHOOK</t>
        </is>
      </c>
      <c r="E55" s="8" t="inlineStr">
        <is>
          <t>Notification</t>
        </is>
      </c>
      <c r="F55" s="8" t="inlineStr">
        <is>
          <t>-</t>
        </is>
      </c>
      <c r="G55" s="8" t="inlineStr">
        <is>
          <t>wz-exceptions.js</t>
        </is>
      </c>
    </row>
  </sheetData>
  <autoFilter ref="A1:G5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2026-09-03T13:43:47Z</dcterms:created>
  <dcterms:modified xmlns:dcterms="http://purl.org/dc/terms/" xmlns:xsi="http://www.w3.org/2001/XMLSchema-instance" xsi:type="dcterms:W3CDTF">2026-09-03T14:49:25Z</dcterms:modified>
</cp:coreProperties>
</file>